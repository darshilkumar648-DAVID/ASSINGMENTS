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6c2dc609cceff90/Darshil/Excel/"/>
    </mc:Choice>
  </mc:AlternateContent>
  <xr:revisionPtr revIDLastSave="966" documentId="8_{5C358D01-F954-4F52-814A-CA681299F709}" xr6:coauthVersionLast="47" xr6:coauthVersionMax="47" xr10:uidLastSave="{A264E950-3C67-441C-916D-3F5B33737EA1}"/>
  <bookViews>
    <workbookView xWindow="-108" yWindow="-108" windowWidth="23256" windowHeight="12456" xr2:uid="{E0743DBD-224B-42A4-B0A6-748152F97F38}"/>
  </bookViews>
  <sheets>
    <sheet name="All_Assingmen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2" l="1"/>
  <c r="L63" i="2"/>
  <c r="L60" i="2"/>
  <c r="N8" i="2"/>
  <c r="N9" i="2"/>
  <c r="N10" i="2"/>
  <c r="F15" i="2"/>
  <c r="F17" i="2"/>
  <c r="N17" i="2"/>
  <c r="N18" i="2"/>
  <c r="F19" i="2"/>
  <c r="F21" i="2"/>
  <c r="B39" i="2"/>
  <c r="B42" i="2"/>
  <c r="J44" i="2"/>
  <c r="J48" i="2"/>
  <c r="B67" i="2"/>
  <c r="B70" i="2"/>
  <c r="B73" i="2"/>
  <c r="B76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02" i="2"/>
  <c r="D121" i="2"/>
  <c r="C398" i="2"/>
  <c r="C394" i="2"/>
  <c r="C390" i="2"/>
  <c r="L378" i="2"/>
  <c r="L377" i="2"/>
  <c r="L376" i="2"/>
  <c r="L370" i="2"/>
  <c r="L371" i="2"/>
  <c r="L369" i="2"/>
  <c r="N364" i="2"/>
  <c r="N362" i="2"/>
  <c r="K322" i="2"/>
  <c r="K323" i="2"/>
  <c r="K321" i="2"/>
  <c r="M313" i="2"/>
  <c r="M309" i="2"/>
  <c r="M305" i="2"/>
  <c r="Q285" i="2"/>
  <c r="Q284" i="2"/>
  <c r="Q282" i="2"/>
  <c r="Q280" i="2"/>
  <c r="Q279" i="2"/>
  <c r="C207" i="2"/>
  <c r="C197" i="2"/>
  <c r="C206" i="2"/>
  <c r="C191" i="2"/>
  <c r="C203" i="2"/>
  <c r="C200" i="2"/>
  <c r="C194" i="2"/>
  <c r="K262" i="2"/>
  <c r="B185" i="2"/>
  <c r="L163" i="2"/>
  <c r="L164" i="2"/>
  <c r="L165" i="2"/>
  <c r="L162" i="2"/>
  <c r="B165" i="2"/>
  <c r="O147" i="2" a="1"/>
  <c r="O147" i="2" s="1"/>
  <c r="O148" i="2" a="1"/>
  <c r="O148" i="2" s="1"/>
  <c r="O149" i="2" a="1"/>
  <c r="O149" i="2" s="1"/>
  <c r="O146" i="2" a="1"/>
  <c r="O146" i="2" s="1"/>
  <c r="G150" i="2"/>
  <c r="G149" i="2"/>
  <c r="M129" i="2"/>
  <c r="M130" i="2"/>
  <c r="M128" i="2"/>
  <c r="M135" i="2"/>
  <c r="M134" i="2"/>
  <c r="M124" i="2"/>
  <c r="M123" i="2"/>
  <c r="M122" i="2"/>
  <c r="M121" i="2"/>
  <c r="D122" i="2"/>
  <c r="D123" i="2"/>
  <c r="D124" i="2"/>
  <c r="D125" i="2"/>
  <c r="D126" i="2"/>
  <c r="D127" i="2"/>
  <c r="F101" i="2"/>
  <c r="F102" i="2"/>
  <c r="F103" i="2"/>
  <c r="F104" i="2"/>
  <c r="F105" i="2"/>
  <c r="F106" i="2"/>
  <c r="F107" i="2"/>
  <c r="F100" i="2"/>
  <c r="E101" i="2"/>
  <c r="E102" i="2"/>
  <c r="E103" i="2"/>
  <c r="E104" i="2"/>
  <c r="E105" i="2"/>
  <c r="E106" i="2"/>
  <c r="E107" i="2"/>
  <c r="E100" i="2"/>
  <c r="M88" i="2"/>
  <c r="M89" i="2"/>
  <c r="M90" i="2"/>
  <c r="M87" i="2"/>
  <c r="C88" i="2"/>
  <c r="C89" i="2"/>
  <c r="C90" i="2"/>
  <c r="C87" i="2"/>
  <c r="G15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<sst xmlns="http://schemas.openxmlformats.org/spreadsheetml/2006/main" count="931" uniqueCount="653">
  <si>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</si>
  <si>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</si>
  <si>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</si>
  <si>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</si>
  <si>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</si>
  <si>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</si>
  <si>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</si>
  <si>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</si>
  <si>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</si>
  <si>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</si>
  <si>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</si>
  <si>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</si>
  <si>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</si>
  <si>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</si>
  <si>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</si>
  <si>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Assingment Ans.1</t>
  </si>
  <si>
    <t>Average Weight of "Light Weight" category.</t>
  </si>
  <si>
    <t>Average Weight of "Medium Weight" category.</t>
  </si>
  <si>
    <t>Average Weight of "Heavey Weight" category.</t>
  </si>
  <si>
    <t>Average for all categories.</t>
  </si>
  <si>
    <t>Use only Average function for the following excercises.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</si>
  <si>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</si>
  <si>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</si>
  <si>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</si>
  <si>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</si>
  <si>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</si>
  <si>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</si>
  <si>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</si>
  <si>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</si>
  <si>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</si>
  <si>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</si>
  <si>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</si>
  <si>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</si>
  <si>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</si>
  <si>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</si>
  <si>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</si>
  <si>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</si>
  <si>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</si>
  <si>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Assingment Ans.2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</si>
  <si>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</si>
  <si>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</si>
  <si>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</si>
  <si>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</si>
  <si>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</si>
  <si>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</si>
  <si>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</si>
  <si>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</si>
  <si>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</si>
  <si>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</si>
  <si>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</si>
  <si>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</si>
  <si>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</si>
  <si>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</si>
  <si>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</si>
  <si>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</si>
  <si>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</si>
  <si>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</si>
  <si>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</si>
  <si>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</si>
  <si>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</si>
  <si>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</si>
  <si>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</si>
  <si>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</si>
  <si>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</si>
  <si>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</si>
  <si>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</si>
  <si>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</si>
  <si>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</si>
  <si>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</si>
  <si>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</si>
  <si>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</si>
  <si>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</si>
  <si>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</si>
  <si>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</si>
  <si>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</si>
  <si>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</si>
  <si>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</si>
  <si>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</si>
  <si>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How many empty cells are in the grey range?</t>
  </si>
  <si>
    <t>How many non number cells are in  the grey range?</t>
  </si>
  <si>
    <t>How many cells in total are in the range?</t>
  </si>
  <si>
    <t>Assingment Ans.6</t>
  </si>
  <si>
    <t>Assingment Ans.5</t>
  </si>
  <si>
    <t>Solve by using COUNT&amp;COUNTA formula &amp; use only columnB(Grey) to Ans a Que:</t>
  </si>
  <si>
    <t>Que:</t>
  </si>
  <si>
    <t>Ans:</t>
  </si>
  <si>
    <t>Table below contains percipitation measurments as measured in the Rochester NY area last year.</t>
  </si>
  <si>
    <t>Solve by using formulas COUNT, COUNTA &amp; COUNTBLANK:</t>
  </si>
  <si>
    <t>Diner-Jordan banknotes</t>
  </si>
  <si>
    <t>Pound-Lebanese bills</t>
  </si>
  <si>
    <t>Pound-Egyptian banknotes</t>
  </si>
  <si>
    <t>A/C Number</t>
  </si>
  <si>
    <t>Column E shows the total Dollar value amount of each of the  accounts.</t>
  </si>
  <si>
    <t>How many cells with a number value are in the grey range (cells B54 to B64)?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</si>
  <si>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</si>
  <si>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</si>
  <si>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</si>
  <si>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</si>
  <si>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</si>
  <si>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</si>
  <si>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</si>
  <si>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</si>
  <si>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</si>
  <si>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</si>
  <si>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</si>
  <si>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</si>
  <si>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</si>
  <si>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</si>
  <si>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</si>
  <si>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</si>
  <si>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</si>
  <si>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</si>
  <si>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</si>
  <si>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</si>
  <si>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</si>
  <si>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</si>
  <si>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</si>
  <si>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</si>
  <si>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</si>
  <si>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</si>
  <si>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</si>
  <si>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</si>
  <si>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</si>
  <si>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</si>
  <si>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</si>
  <si>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</si>
  <si>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</si>
  <si>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</si>
  <si>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>No.9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</si>
  <si>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</si>
  <si>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</si>
  <si>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</si>
  <si>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</si>
  <si>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</si>
  <si>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</si>
  <si>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</si>
  <si>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</si>
  <si>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</si>
  <si>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</si>
  <si>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</si>
  <si>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</si>
  <si>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</si>
  <si>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</si>
  <si>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</si>
  <si>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</si>
  <si>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</si>
  <si>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</si>
  <si>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</si>
  <si>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</si>
  <si>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</si>
  <si>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</si>
  <si>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</si>
  <si>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</si>
  <si>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</si>
  <si>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</si>
  <si>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</si>
  <si>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</si>
  <si>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</si>
  <si>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</si>
  <si>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</si>
  <si>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</si>
  <si>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</si>
  <si>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</si>
  <si>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</si>
  <si>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</si>
  <si>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</si>
  <si>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</si>
  <si>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</si>
  <si>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</si>
  <si>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</si>
  <si>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No.12</t>
  </si>
  <si>
    <t>No.10,11</t>
  </si>
  <si>
    <t>Assingment Ans.3,4</t>
  </si>
  <si>
    <t>Assingment Ans.7</t>
  </si>
  <si>
    <t>No .8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</si>
  <si>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</si>
  <si>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</si>
  <si>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</si>
  <si>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</si>
  <si>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</si>
  <si>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</si>
  <si>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</si>
  <si>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</si>
  <si>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</si>
  <si>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</si>
  <si>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</si>
  <si>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</si>
  <si>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</si>
  <si>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</si>
  <si>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</si>
  <si>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</si>
  <si>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</si>
  <si>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</si>
  <si>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</si>
  <si>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</si>
  <si>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</si>
  <si>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</si>
  <si>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</si>
  <si>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</si>
  <si>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</si>
  <si>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</si>
  <si>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</si>
  <si>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</si>
  <si>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No.13</t>
  </si>
  <si>
    <t>No.14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</si>
  <si>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</si>
  <si>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</si>
  <si>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</si>
  <si>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</si>
  <si>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</si>
  <si>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</si>
  <si>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</si>
  <si>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</si>
  <si>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</si>
  <si>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</si>
  <si>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</si>
  <si>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No.15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</si>
  <si>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</si>
  <si>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</si>
  <si>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</si>
  <si>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</si>
  <si>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</si>
  <si>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</si>
  <si>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</si>
  <si>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</si>
  <si>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</si>
  <si>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</si>
  <si>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</si>
  <si>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What is avg between the maximum and the minimum? (mid range)</t>
  </si>
  <si>
    <t>No.16</t>
  </si>
  <si>
    <t>No.17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</si>
  <si>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</si>
  <si>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</si>
  <si>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</si>
  <si>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</si>
  <si>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</si>
  <si>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</si>
  <si>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</si>
  <si>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</si>
  <si>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</si>
  <si>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</si>
  <si>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</si>
  <si>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</si>
  <si>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</si>
  <si>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</si>
  <si>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</si>
  <si>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</si>
  <si>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</si>
  <si>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No.18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</si>
  <si>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</si>
  <si>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</si>
  <si>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</si>
  <si>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</si>
  <si>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</si>
  <si>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</si>
  <si>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</si>
  <si>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</si>
  <si>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</si>
  <si>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</si>
  <si>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</si>
  <si>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</si>
  <si>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</si>
  <si>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</si>
  <si>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</si>
  <si>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</si>
  <si>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</si>
  <si>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</si>
  <si>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</si>
  <si>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</si>
  <si>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</si>
  <si>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</si>
  <si>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</si>
  <si>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</si>
  <si>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</si>
  <si>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</si>
  <si>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</si>
  <si>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</si>
  <si>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</si>
  <si>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</si>
  <si>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</si>
  <si>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</si>
  <si>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</si>
  <si>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</si>
  <si>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</si>
  <si>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</si>
  <si>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</si>
  <si>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</si>
  <si>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</si>
  <si>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</si>
  <si>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</si>
  <si>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</si>
  <si>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</si>
  <si>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</si>
  <si>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</si>
  <si>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</si>
  <si>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</si>
  <si>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</si>
  <si>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</si>
  <si>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</si>
  <si>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</si>
  <si>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</si>
  <si>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</si>
  <si>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</si>
  <si>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</si>
  <si>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</si>
  <si>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</si>
  <si>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</si>
  <si>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</si>
  <si>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</si>
  <si>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</si>
  <si>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</si>
  <si>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</si>
  <si>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</si>
  <si>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</si>
  <si>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</si>
  <si>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</si>
  <si>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</si>
  <si>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</si>
  <si>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</si>
  <si>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</si>
  <si>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</si>
  <si>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</si>
  <si>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</si>
  <si>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</si>
  <si>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</si>
  <si>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</si>
  <si>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</si>
  <si>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</si>
  <si>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</si>
  <si>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</si>
  <si>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</si>
  <si>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</si>
  <si>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</si>
  <si>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</si>
  <si>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</si>
  <si>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</si>
  <si>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</si>
  <si>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</si>
  <si>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</si>
  <si>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</si>
  <si>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</si>
  <si>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</si>
  <si>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</si>
  <si>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</si>
  <si>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</si>
  <si>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</si>
  <si>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</si>
  <si>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</si>
  <si>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</si>
  <si>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</si>
  <si>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</si>
  <si>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</si>
  <si>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</si>
  <si>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</si>
  <si>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</si>
  <si>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</si>
  <si>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</si>
  <si>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</si>
  <si>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</si>
  <si>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</si>
  <si>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</si>
  <si>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</si>
  <si>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</si>
  <si>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</si>
  <si>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</si>
  <si>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</si>
  <si>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</si>
  <si>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</si>
  <si>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</si>
  <si>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</si>
  <si>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</si>
  <si>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</si>
  <si>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</si>
  <si>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</si>
  <si>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</si>
  <si>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</si>
  <si>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</si>
  <si>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</si>
  <si>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</si>
  <si>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</si>
  <si>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</si>
  <si>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</si>
  <si>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</si>
  <si>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</si>
  <si>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</si>
  <si>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</si>
  <si>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</si>
  <si>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</si>
  <si>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</si>
  <si>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</si>
  <si>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</si>
  <si>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</si>
  <si>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</si>
  <si>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</si>
  <si>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</si>
  <si>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</si>
  <si>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</si>
  <si>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</si>
  <si>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</si>
  <si>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</si>
  <si>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</si>
  <si>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</si>
  <si>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</si>
  <si>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</si>
  <si>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</si>
  <si>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</si>
  <si>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</si>
  <si>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</si>
  <si>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</si>
  <si>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</si>
  <si>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</si>
  <si>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</si>
  <si>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</si>
  <si>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</si>
  <si>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</si>
  <si>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</si>
  <si>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</si>
  <si>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</si>
  <si>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</si>
  <si>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</si>
  <si>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</si>
  <si>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</si>
  <si>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</si>
  <si>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</si>
  <si>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</si>
  <si>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</si>
  <si>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</si>
  <si>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</si>
  <si>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</si>
  <si>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</si>
  <si>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</si>
  <si>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</si>
  <si>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</si>
  <si>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</si>
  <si>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</si>
  <si>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</si>
  <si>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</si>
  <si>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</si>
  <si>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</si>
  <si>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</si>
  <si>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</si>
  <si>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</si>
  <si>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No.19,20</t>
  </si>
  <si>
    <t>No.21</t>
  </si>
  <si>
    <t>No.22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</si>
  <si>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</si>
  <si>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</si>
  <si>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</si>
  <si>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</si>
  <si>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</si>
  <si>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</si>
  <si>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</si>
  <si>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</si>
  <si>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</si>
  <si>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</si>
  <si>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</si>
  <si>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</si>
  <si>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</si>
  <si>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</si>
  <si>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</si>
  <si>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</si>
  <si>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</si>
  <si>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</si>
  <si>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</si>
  <si>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</si>
  <si>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</si>
  <si>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</si>
  <si>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</si>
  <si>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</si>
  <si>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</si>
  <si>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</si>
  <si>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</si>
  <si>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</si>
  <si>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</si>
  <si>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</si>
  <si>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</si>
  <si>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</si>
  <si>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</si>
  <si>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</si>
  <si>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</si>
  <si>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</si>
  <si>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</si>
  <si>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</si>
  <si>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</si>
  <si>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</si>
  <si>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</si>
  <si>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</si>
  <si>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No.23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</si>
  <si>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</si>
  <si>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</si>
  <si>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</si>
  <si>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</si>
  <si>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 xml:space="preserve">$1.3671 </t>
  </si>
  <si>
    <t xml:space="preserve">$1.3569 </t>
  </si>
  <si>
    <t xml:space="preserve">$1.3624 </t>
  </si>
  <si>
    <t xml:space="preserve">$1.3607 </t>
  </si>
  <si>
    <t xml:space="preserve">$1.3563 </t>
  </si>
  <si>
    <t xml:space="preserve">$1.3514 </t>
  </si>
  <si>
    <t xml:space="preserve">$1.3663 </t>
  </si>
  <si>
    <t xml:space="preserve">$1.3637 </t>
  </si>
  <si>
    <t xml:space="preserve">$1.3687 </t>
  </si>
  <si>
    <t xml:space="preserve">$1.3586 </t>
  </si>
  <si>
    <t xml:space="preserve">$1.3584 </t>
  </si>
  <si>
    <t xml:space="preserve">$1.3628 </t>
  </si>
  <si>
    <t xml:space="preserve">$1.3653 </t>
  </si>
  <si>
    <t xml:space="preserve">$1.3732 </t>
  </si>
  <si>
    <t xml:space="preserve">$1.3684 </t>
  </si>
  <si>
    <t xml:space="preserve">$1.3674 </t>
  </si>
  <si>
    <t xml:space="preserve">$1.3733 </t>
  </si>
  <si>
    <t xml:space="preserve">$1.3686 </t>
  </si>
  <si>
    <t xml:space="preserve">$1.3718 </t>
  </si>
  <si>
    <t xml:space="preserve">$1.3702 </t>
  </si>
  <si>
    <t>No.24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</si>
  <si>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</si>
  <si>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</si>
  <si>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</si>
  <si>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</si>
  <si>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</si>
  <si>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</si>
  <si>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</si>
  <si>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</si>
  <si>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</si>
  <si>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</si>
  <si>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</si>
  <si>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</si>
  <si>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</si>
  <si>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</si>
  <si>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</si>
  <si>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</si>
  <si>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</si>
  <si>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</si>
  <si>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</si>
  <si>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</si>
  <si>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</si>
  <si>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</si>
  <si>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</si>
  <si>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</si>
  <si>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</si>
  <si>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</si>
  <si>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</si>
  <si>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No.25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</si>
  <si>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</si>
  <si>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</si>
  <si>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</si>
  <si>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</si>
  <si>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</si>
  <si>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</si>
  <si>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</si>
  <si>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</si>
  <si>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</si>
  <si>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</si>
  <si>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</si>
  <si>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</si>
  <si>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</si>
  <si>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</si>
  <si>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</si>
  <si>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</si>
  <si>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</si>
  <si>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</si>
  <si>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</si>
  <si>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</si>
  <si>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</si>
  <si>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</si>
  <si>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</si>
  <si>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</si>
  <si>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</si>
  <si>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No.26</t>
  </si>
  <si>
    <t>Question : -27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</si>
  <si>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</si>
  <si>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</si>
  <si>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</si>
  <si>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</si>
  <si>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</si>
  <si>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</si>
  <si>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</si>
  <si>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</si>
  <si>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</si>
  <si>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</si>
  <si>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</si>
  <si>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</si>
  <si>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</si>
  <si>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</si>
  <si>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</si>
  <si>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</si>
  <si>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</si>
  <si>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</si>
  <si>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</si>
  <si>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</si>
  <si>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</si>
  <si>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</si>
  <si>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</si>
  <si>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</si>
  <si>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</si>
  <si>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</si>
  <si>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</si>
  <si>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</si>
  <si>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</si>
  <si>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</si>
  <si>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</si>
  <si>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</si>
  <si>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</si>
  <si>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</si>
  <si>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</si>
  <si>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</si>
  <si>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</si>
  <si>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</si>
  <si>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</si>
  <si>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</si>
  <si>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>First Name</t>
  </si>
  <si>
    <t>Last Name</t>
  </si>
  <si>
    <t xml:space="preserve"> Salary</t>
  </si>
  <si>
    <t xml:space="preserve"> Age</t>
  </si>
  <si>
    <t>OrderID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</si>
  <si>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</si>
  <si>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</si>
  <si>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</si>
  <si>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</si>
  <si>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</si>
  <si>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</si>
  <si>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</si>
  <si>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</si>
  <si>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</si>
  <si>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</si>
  <si>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</si>
  <si>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</si>
  <si>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</si>
  <si>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</si>
  <si>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</si>
  <si>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</si>
  <si>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</si>
  <si>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</si>
  <si>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</si>
  <si>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</si>
  <si>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</si>
  <si>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</si>
  <si>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</si>
  <si>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</si>
  <si>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</si>
  <si>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</si>
  <si>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</si>
  <si>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</si>
  <si>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</si>
  <si>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</si>
  <si>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</si>
  <si>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</si>
  <si>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</si>
  <si>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</si>
  <si>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</si>
  <si>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</si>
  <si>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</si>
  <si>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</si>
  <si>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Discount</t>
  </si>
  <si>
    <t>Question : 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</si>
</sst>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(&quot;$&quot;* #,##0.00_);_(&quot;$&quot;* \(#,##0.00\);_(&quot;$&quot;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0.0"/>
    <numFmt numFmtId="170" formatCode="_(* #,##0_);_(* \(#,##0\);_(* &quot;-&quot;??_);_(@_)"/>
    <numFmt numFmtId="171" formatCode="_(&quot;$&quot;* #,##0_);_(&quot;$&quot;* \(#,##0\);_(&quot;$&quot;* &quot;-&quot;??_);_(@_)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name val="Copperplate Gothic Light"/>
      <family val="2"/>
    </font>
    <font>
      <sz val="11"/>
      <color theme="1"/>
      <name val="Aptos Narrow"/>
      <family val="2"/>
      <charset val="177"/>
      <scheme val="minor"/>
    </font>
    <font>
      <u/>
      <sz val="11"/>
      <color theme="10"/>
      <name val="Aptos Narrow"/>
      <family val="2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</font>
    <font>
      <b/>
      <sz val="11"/>
      <color theme="1"/>
      <name val="Aptos Narrow"/>
      <family val="2"/>
      <scheme val="minor"/>
    </font>
    <font>
      <sz val="11"/>
      <color rgb="FF0E101A"/>
      <name val="Calibri"/>
      <family val="2"/>
    </font>
    <font>
      <b/>
      <u/>
      <sz val="11"/>
      <name val="Aptos Narrow"/>
      <family val="2"/>
      <scheme val="minor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0"/>
      <color rgb="FF374151"/>
      <name val="Aptos Narrow"/>
      <family val="2"/>
      <scheme val="minor"/>
    </font>
    <font>
      <sz val="10"/>
      <color rgb="FF374151"/>
      <name val="Aptos Narrow"/>
      <family val="2"/>
      <scheme val="minor"/>
    </font>
    <font>
      <b/>
      <u/>
      <sz val="10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sz val="10"/>
      <name val="Calibri"/>
      <family val="2"/>
    </font>
    <font>
      <b/>
      <sz val="10"/>
      <name val="Calibri"/>
      <family val="2"/>
    </font>
    <font>
      <b/>
      <u/>
      <sz val="1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5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CCCC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rgb="FF000000"/>
      </patternFill>
    </fill>
    <fill>
      <patternFill patternType="solid">
        <fgColor theme="8" tint="0.59999389629810485"/>
        <bgColor rgb="FFC5E0B3"/>
      </patternFill>
    </fill>
    <fill>
      <patternFill patternType="solid">
        <fgColor theme="8" tint="0.59999389629810485"/>
        <bgColor rgb="FFC0C0C0"/>
      </patternFill>
    </fill>
    <fill>
      <patternFill patternType="solid">
        <fgColor theme="8" tint="0.59999389629810485"/>
        <bgColor rgb="FF92D050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7" fillId="0" borderId="0"/>
    <xf numFmtId="0" fontId="1" fillId="0" borderId="0"/>
    <xf numFmtId="0" fontId="8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4" fillId="0" borderId="0" xfId="1" applyFont="1"/>
    <xf numFmtId="0" fontId="7" fillId="0" borderId="0" xfId="1"/>
    <xf numFmtId="0" fontId="10" fillId="0" borderId="0" xfId="1" applyFont="1"/>
    <xf numFmtId="0" fontId="11" fillId="0" borderId="0" xfId="1" applyFont="1"/>
    <xf numFmtId="0" fontId="10" fillId="0" borderId="0" xfId="1" applyFont="1" applyAlignment="1">
      <alignment horizontal="center"/>
    </xf>
    <xf numFmtId="0" fontId="11" fillId="9" borderId="14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center"/>
    </xf>
    <xf numFmtId="0" fontId="0" fillId="0" borderId="19" xfId="0" applyBorder="1"/>
    <xf numFmtId="0" fontId="11" fillId="0" borderId="2" xfId="1" applyFont="1" applyBorder="1"/>
    <xf numFmtId="0" fontId="11" fillId="0" borderId="15" xfId="1" applyFont="1" applyBorder="1"/>
    <xf numFmtId="0" fontId="2" fillId="5" borderId="5" xfId="0" applyFont="1" applyFill="1" applyBorder="1" applyAlignment="1" applyProtection="1">
      <alignment horizontal="center"/>
      <protection locked="0"/>
    </xf>
    <xf numFmtId="166" fontId="2" fillId="0" borderId="15" xfId="0" applyNumberFormat="1" applyFont="1" applyBorder="1" applyAlignment="1">
      <alignment horizontal="center"/>
    </xf>
    <xf numFmtId="0" fontId="0" fillId="0" borderId="10" xfId="0" applyBorder="1"/>
    <xf numFmtId="0" fontId="2" fillId="0" borderId="0" xfId="0" applyFont="1" applyAlignment="1">
      <alignment vertical="center"/>
    </xf>
    <xf numFmtId="0" fontId="4" fillId="0" borderId="2" xfId="1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166" fontId="2" fillId="10" borderId="2" xfId="0" applyNumberFormat="1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11" fillId="11" borderId="18" xfId="1" applyFont="1" applyFill="1" applyBorder="1" applyAlignment="1">
      <alignment horizontal="center" vertical="center"/>
    </xf>
    <xf numFmtId="0" fontId="11" fillId="9" borderId="30" xfId="1" applyFont="1" applyFill="1" applyBorder="1" applyAlignment="1">
      <alignment horizontal="center" vertical="center"/>
    </xf>
    <xf numFmtId="0" fontId="4" fillId="0" borderId="15" xfId="1" applyFont="1" applyBorder="1" applyAlignment="1">
      <alignment horizontal="center"/>
    </xf>
    <xf numFmtId="0" fontId="2" fillId="5" borderId="5" xfId="0" applyFont="1" applyFill="1" applyBorder="1" applyAlignment="1" applyProtection="1">
      <alignment horizontal="center" vertical="center"/>
      <protection locked="0"/>
    </xf>
    <xf numFmtId="0" fontId="11" fillId="5" borderId="5" xfId="1" applyFont="1" applyFill="1" applyBorder="1" applyAlignment="1" applyProtection="1">
      <alignment horizontal="center" vertical="center"/>
      <protection locked="0"/>
    </xf>
    <xf numFmtId="0" fontId="13" fillId="11" borderId="18" xfId="1" applyFont="1" applyFill="1" applyBorder="1" applyAlignment="1">
      <alignment horizontal="center" vertical="center"/>
    </xf>
    <xf numFmtId="0" fontId="13" fillId="11" borderId="29" xfId="1" applyFont="1" applyFill="1" applyBorder="1" applyAlignment="1">
      <alignment horizontal="center" vertical="center"/>
    </xf>
    <xf numFmtId="0" fontId="4" fillId="5" borderId="5" xfId="1" applyFont="1" applyFill="1" applyBorder="1" applyAlignment="1" applyProtection="1">
      <alignment horizontal="center"/>
      <protection locked="0"/>
    </xf>
    <xf numFmtId="0" fontId="11" fillId="8" borderId="2" xfId="1" applyFont="1" applyFill="1" applyBorder="1" applyAlignment="1">
      <alignment horizontal="center"/>
    </xf>
    <xf numFmtId="0" fontId="15" fillId="0" borderId="0" xfId="0" applyFont="1"/>
    <xf numFmtId="0" fontId="1" fillId="0" borderId="0" xfId="0" applyFont="1"/>
    <xf numFmtId="0" fontId="2" fillId="0" borderId="1" xfId="0" applyFont="1" applyBorder="1"/>
    <xf numFmtId="0" fontId="4" fillId="0" borderId="0" xfId="0" applyFont="1"/>
    <xf numFmtId="0" fontId="16" fillId="0" borderId="0" xfId="0" applyFont="1"/>
    <xf numFmtId="0" fontId="4" fillId="0" borderId="2" xfId="0" applyFont="1" applyBorder="1" applyAlignment="1">
      <alignment horizontal="center" vertical="center"/>
    </xf>
    <xf numFmtId="0" fontId="5" fillId="0" borderId="0" xfId="0" applyFont="1"/>
    <xf numFmtId="0" fontId="17" fillId="0" borderId="0" xfId="0" applyFont="1"/>
    <xf numFmtId="0" fontId="2" fillId="0" borderId="2" xfId="0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0" xfId="1" applyFont="1"/>
    <xf numFmtId="0" fontId="2" fillId="0" borderId="0" xfId="1" applyFont="1" applyAlignment="1">
      <alignment horizontal="left"/>
    </xf>
    <xf numFmtId="0" fontId="18" fillId="0" borderId="0" xfId="1" applyFont="1"/>
    <xf numFmtId="0" fontId="2" fillId="0" borderId="0" xfId="1" applyFont="1" applyAlignment="1">
      <alignment horizontal="right"/>
    </xf>
    <xf numFmtId="0" fontId="2" fillId="0" borderId="14" xfId="1" applyFont="1" applyBorder="1" applyAlignment="1">
      <alignment horizontal="center"/>
    </xf>
    <xf numFmtId="0" fontId="1" fillId="0" borderId="0" xfId="1" applyFont="1"/>
    <xf numFmtId="0" fontId="1" fillId="0" borderId="1" xfId="1" applyFont="1" applyBorder="1"/>
    <xf numFmtId="9" fontId="1" fillId="0" borderId="1" xfId="1" applyNumberFormat="1" applyFont="1" applyBorder="1"/>
    <xf numFmtId="0" fontId="1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/>
    <xf numFmtId="9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" fontId="2" fillId="0" borderId="2" xfId="0" applyNumberFormat="1" applyFont="1" applyBorder="1" applyAlignment="1">
      <alignment horizontal="center"/>
    </xf>
    <xf numFmtId="169" fontId="3" fillId="0" borderId="2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2" xfId="0" applyFont="1" applyBorder="1"/>
    <xf numFmtId="0" fontId="10" fillId="0" borderId="32" xfId="0" applyFont="1" applyBorder="1"/>
    <xf numFmtId="0" fontId="7" fillId="0" borderId="2" xfId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15" xfId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5" borderId="33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5" xfId="0" applyFill="1" applyBorder="1" applyAlignment="1" applyProtection="1">
      <alignment horizontal="center"/>
      <protection locked="0"/>
    </xf>
    <xf numFmtId="14" fontId="2" fillId="0" borderId="0" xfId="0" applyNumberFormat="1" applyFont="1"/>
    <xf numFmtId="3" fontId="15" fillId="0" borderId="0" xfId="0" applyNumberFormat="1" applyFont="1"/>
    <xf numFmtId="3" fontId="19" fillId="0" borderId="0" xfId="0" applyNumberFormat="1" applyFont="1" applyAlignment="1">
      <alignment horizontal="right"/>
    </xf>
    <xf numFmtId="0" fontId="20" fillId="0" borderId="0" xfId="0" applyFont="1"/>
    <xf numFmtId="0" fontId="19" fillId="0" borderId="1" xfId="0" applyFont="1" applyBorder="1" applyAlignment="1">
      <alignment horizontal="center"/>
    </xf>
    <xf numFmtId="3" fontId="19" fillId="5" borderId="1" xfId="0" applyNumberFormat="1" applyFont="1" applyFill="1" applyBorder="1" applyAlignment="1">
      <alignment horizontal="center"/>
    </xf>
    <xf numFmtId="3" fontId="3" fillId="5" borderId="1" xfId="0" applyNumberFormat="1" applyFont="1" applyFill="1" applyBorder="1" applyAlignment="1">
      <alignment horizontal="center"/>
    </xf>
    <xf numFmtId="170" fontId="2" fillId="0" borderId="2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70" fontId="2" fillId="0" borderId="3" xfId="0" applyNumberFormat="1" applyFont="1" applyBorder="1" applyAlignment="1">
      <alignment horizontal="center"/>
    </xf>
    <xf numFmtId="170" fontId="2" fillId="5" borderId="5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14" fontId="2" fillId="0" borderId="1" xfId="0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26" fillId="0" borderId="0" xfId="0" applyFont="1" applyAlignment="1">
      <alignment vertical="center"/>
    </xf>
    <xf numFmtId="0" fontId="8" fillId="0" borderId="0" xfId="6" quotePrefix="1"/>
    <xf numFmtId="0" fontId="27" fillId="0" borderId="0" xfId="0" applyFont="1" applyAlignment="1">
      <alignment vertical="center"/>
    </xf>
    <xf numFmtId="0" fontId="28" fillId="0" borderId="0" xfId="0" applyFont="1"/>
    <xf numFmtId="0" fontId="29" fillId="0" borderId="0" xfId="0" applyFont="1"/>
    <xf numFmtId="171" fontId="0" fillId="0" borderId="2" xfId="5" applyNumberFormat="1" applyFont="1" applyBorder="1" applyAlignment="1">
      <alignment horizontal="center"/>
    </xf>
    <xf numFmtId="171" fontId="0" fillId="14" borderId="5" xfId="5" applyNumberFormat="1" applyFont="1" applyFill="1" applyBorder="1" applyProtection="1">
      <protection locked="0"/>
    </xf>
    <xf numFmtId="171" fontId="0" fillId="0" borderId="0" xfId="5" applyNumberFormat="1" applyFont="1"/>
    <xf numFmtId="0" fontId="24" fillId="0" borderId="2" xfId="0" applyFont="1" applyBorder="1" applyAlignment="1">
      <alignment horizontal="center"/>
    </xf>
    <xf numFmtId="0" fontId="31" fillId="0" borderId="0" xfId="0" applyFont="1"/>
    <xf numFmtId="0" fontId="32" fillId="0" borderId="0" xfId="0" applyFont="1"/>
    <xf numFmtId="14" fontId="34" fillId="0" borderId="2" xfId="0" applyNumberFormat="1" applyFont="1" applyBorder="1" applyAlignment="1">
      <alignment horizontal="center" wrapText="1"/>
    </xf>
    <xf numFmtId="0" fontId="34" fillId="0" borderId="2" xfId="0" applyFont="1" applyBorder="1" applyAlignment="1">
      <alignment horizontal="center" wrapText="1"/>
    </xf>
    <xf numFmtId="14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1" fillId="17" borderId="20" xfId="0" applyFont="1" applyFill="1" applyBorder="1" applyAlignment="1">
      <alignment horizontal="center"/>
    </xf>
    <xf numFmtId="0" fontId="32" fillId="0" borderId="0" xfId="0" applyFont="1" applyAlignment="1">
      <alignment horizontal="right"/>
    </xf>
    <xf numFmtId="0" fontId="34" fillId="0" borderId="0" xfId="0" applyFont="1"/>
    <xf numFmtId="0" fontId="31" fillId="0" borderId="2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1" fillId="0" borderId="18" xfId="0" applyFont="1" applyBorder="1" applyAlignment="1">
      <alignment horizontal="center"/>
    </xf>
    <xf numFmtId="0" fontId="31" fillId="5" borderId="5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0" borderId="0" xfId="0" applyFont="1"/>
    <xf numFmtId="0" fontId="36" fillId="0" borderId="0" xfId="0" applyFont="1"/>
    <xf numFmtId="0" fontId="37" fillId="0" borderId="0" xfId="0" applyFont="1" applyAlignment="1">
      <alignment vertical="center"/>
    </xf>
    <xf numFmtId="0" fontId="37" fillId="0" borderId="0" xfId="0" applyFont="1"/>
    <xf numFmtId="0" fontId="35" fillId="0" borderId="2" xfId="0" applyFont="1" applyBorder="1" applyAlignment="1">
      <alignment horizontal="center"/>
    </xf>
    <xf numFmtId="0" fontId="35" fillId="17" borderId="5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0" fontId="2" fillId="5" borderId="5" xfId="1" applyFont="1" applyFill="1" applyBorder="1" applyAlignment="1" applyProtection="1">
      <alignment horizontal="center"/>
      <protection locked="0"/>
    </xf>
    <xf numFmtId="168" fontId="1" fillId="0" borderId="14" xfId="4" applyNumberFormat="1" applyFont="1" applyBorder="1"/>
    <xf numFmtId="3" fontId="1" fillId="5" borderId="5" xfId="1" applyNumberFormat="1" applyFont="1" applyFill="1" applyBorder="1" applyProtection="1">
      <protection locked="0"/>
    </xf>
    <xf numFmtId="1" fontId="2" fillId="0" borderId="15" xfId="0" applyNumberFormat="1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10" fontId="2" fillId="5" borderId="5" xfId="0" applyNumberFormat="1" applyFont="1" applyFill="1" applyBorder="1" applyAlignment="1" applyProtection="1">
      <alignment horizontal="center"/>
      <protection locked="0"/>
    </xf>
    <xf numFmtId="3" fontId="19" fillId="15" borderId="36" xfId="0" applyNumberFormat="1" applyFont="1" applyFill="1" applyBorder="1" applyAlignment="1">
      <alignment horizontal="center"/>
    </xf>
    <xf numFmtId="3" fontId="2" fillId="14" borderId="5" xfId="0" applyNumberFormat="1" applyFont="1" applyFill="1" applyBorder="1" applyAlignment="1" applyProtection="1">
      <alignment horizontal="center"/>
      <protection locked="0"/>
    </xf>
    <xf numFmtId="3" fontId="2" fillId="5" borderId="5" xfId="0" applyNumberFormat="1" applyFont="1" applyFill="1" applyBorder="1" applyAlignment="1" applyProtection="1">
      <alignment horizontal="center"/>
      <protection locked="0"/>
    </xf>
    <xf numFmtId="165" fontId="2" fillId="0" borderId="36" xfId="0" applyNumberFormat="1" applyFont="1" applyBorder="1" applyAlignment="1">
      <alignment horizontal="center"/>
    </xf>
    <xf numFmtId="165" fontId="2" fillId="14" borderId="5" xfId="0" applyNumberFormat="1" applyFont="1" applyFill="1" applyBorder="1" applyAlignment="1" applyProtection="1">
      <alignment horizontal="center"/>
      <protection locked="0"/>
    </xf>
    <xf numFmtId="0" fontId="30" fillId="14" borderId="5" xfId="0" applyFont="1" applyFill="1" applyBorder="1" applyAlignment="1">
      <alignment horizontal="center"/>
    </xf>
    <xf numFmtId="0" fontId="31" fillId="17" borderId="5" xfId="0" applyFont="1" applyFill="1" applyBorder="1" applyAlignment="1">
      <alignment horizontal="center"/>
    </xf>
    <xf numFmtId="0" fontId="14" fillId="11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1" fillId="16" borderId="14" xfId="0" applyFont="1" applyFill="1" applyBorder="1" applyAlignment="1">
      <alignment horizontal="center"/>
    </xf>
    <xf numFmtId="0" fontId="22" fillId="0" borderId="21" xfId="0" applyFont="1" applyBorder="1"/>
    <xf numFmtId="0" fontId="22" fillId="0" borderId="34" xfId="0" applyFont="1" applyBorder="1"/>
    <xf numFmtId="0" fontId="32" fillId="0" borderId="0" xfId="0" applyFont="1"/>
    <xf numFmtId="0" fontId="35" fillId="0" borderId="0" xfId="0" applyFont="1"/>
    <xf numFmtId="0" fontId="31" fillId="0" borderId="0" xfId="0" applyFont="1"/>
    <xf numFmtId="0" fontId="3" fillId="0" borderId="2" xfId="0" applyFont="1" applyBorder="1" applyAlignment="1">
      <alignment horizont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left"/>
    </xf>
    <xf numFmtId="0" fontId="2" fillId="13" borderId="15" xfId="0" applyFont="1" applyFill="1" applyBorder="1" applyAlignment="1">
      <alignment horizontal="left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1" fillId="7" borderId="15" xfId="1" applyFont="1" applyFill="1" applyBorder="1" applyAlignment="1">
      <alignment horizontal="center" vertical="center"/>
    </xf>
    <xf numFmtId="0" fontId="11" fillId="7" borderId="16" xfId="1" applyFont="1" applyFill="1" applyBorder="1" applyAlignment="1">
      <alignment horizontal="center" vertical="center"/>
    </xf>
    <xf numFmtId="0" fontId="11" fillId="13" borderId="3" xfId="1" applyFont="1" applyFill="1" applyBorder="1" applyAlignment="1">
      <alignment horizontal="left" vertical="center"/>
    </xf>
    <xf numFmtId="0" fontId="11" fillId="13" borderId="2" xfId="1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 vertical="center"/>
    </xf>
    <xf numFmtId="0" fontId="4" fillId="13" borderId="2" xfId="1" applyFont="1" applyFill="1" applyBorder="1" applyAlignment="1">
      <alignment horizontal="left" vertical="center"/>
    </xf>
    <xf numFmtId="0" fontId="11" fillId="9" borderId="14" xfId="1" applyFont="1" applyFill="1" applyBorder="1" applyAlignment="1">
      <alignment horizontal="left" vertical="center"/>
    </xf>
    <xf numFmtId="0" fontId="11" fillId="9" borderId="21" xfId="1" applyFont="1" applyFill="1" applyBorder="1" applyAlignment="1">
      <alignment horizontal="left" vertical="center"/>
    </xf>
    <xf numFmtId="0" fontId="11" fillId="9" borderId="27" xfId="1" applyFont="1" applyFill="1" applyBorder="1" applyAlignment="1">
      <alignment horizontal="left" vertical="center"/>
    </xf>
    <xf numFmtId="0" fontId="11" fillId="9" borderId="28" xfId="1" applyFont="1" applyFill="1" applyBorder="1" applyAlignment="1">
      <alignment horizontal="left" vertical="center"/>
    </xf>
    <xf numFmtId="0" fontId="13" fillId="11" borderId="31" xfId="1" applyFont="1" applyFill="1" applyBorder="1" applyAlignment="1">
      <alignment horizontal="center" vertical="center"/>
    </xf>
    <xf numFmtId="0" fontId="13" fillId="11" borderId="12" xfId="1" applyFont="1" applyFill="1" applyBorder="1" applyAlignment="1">
      <alignment horizontal="center" vertical="center"/>
    </xf>
    <xf numFmtId="0" fontId="9" fillId="0" borderId="25" xfId="1" applyFont="1" applyBorder="1" applyAlignment="1">
      <alignment horizontal="left" vertical="center" wrapText="1"/>
    </xf>
    <xf numFmtId="0" fontId="9" fillId="0" borderId="23" xfId="1" applyFont="1" applyBorder="1" applyAlignment="1">
      <alignment horizontal="left" vertical="center" wrapText="1"/>
    </xf>
    <xf numFmtId="0" fontId="9" fillId="0" borderId="26" xfId="1" applyFont="1" applyBorder="1" applyAlignment="1">
      <alignment horizontal="left" vertical="center" wrapText="1"/>
    </xf>
    <xf numFmtId="0" fontId="9" fillId="0" borderId="11" xfId="1" applyFont="1" applyBorder="1" applyAlignment="1">
      <alignment horizontal="left" vertical="center" wrapText="1"/>
    </xf>
    <xf numFmtId="0" fontId="9" fillId="0" borderId="12" xfId="1" applyFont="1" applyBorder="1" applyAlignment="1">
      <alignment horizontal="left" vertical="center" wrapText="1"/>
    </xf>
    <xf numFmtId="0" fontId="9" fillId="0" borderId="13" xfId="1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/>
    </xf>
    <xf numFmtId="0" fontId="11" fillId="0" borderId="17" xfId="1" applyFont="1" applyBorder="1" applyAlignment="1">
      <alignment horizontal="center"/>
    </xf>
    <xf numFmtId="0" fontId="11" fillId="0" borderId="16" xfId="1" applyFont="1" applyBorder="1" applyAlignment="1">
      <alignment horizontal="center"/>
    </xf>
    <xf numFmtId="0" fontId="12" fillId="12" borderId="11" xfId="1" applyFont="1" applyFill="1" applyBorder="1" applyAlignment="1">
      <alignment horizontal="center" vertical="center"/>
    </xf>
    <xf numFmtId="0" fontId="12" fillId="12" borderId="13" xfId="1" applyFont="1" applyFill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13" borderId="3" xfId="1" applyFont="1" applyFill="1" applyBorder="1" applyAlignment="1">
      <alignment horizontal="center"/>
    </xf>
    <xf numFmtId="0" fontId="4" fillId="13" borderId="2" xfId="1" applyFont="1" applyFill="1" applyBorder="1" applyAlignment="1">
      <alignment horizontal="center"/>
    </xf>
    <xf numFmtId="0" fontId="11" fillId="13" borderId="3" xfId="1" applyFont="1" applyFill="1" applyBorder="1" applyAlignment="1">
      <alignment horizontal="left"/>
    </xf>
    <xf numFmtId="0" fontId="11" fillId="13" borderId="2" xfId="1" applyFont="1" applyFill="1" applyBorder="1" applyAlignment="1">
      <alignment horizontal="left"/>
    </xf>
    <xf numFmtId="0" fontId="0" fillId="0" borderId="38" xfId="0" applyBorder="1"/>
    <xf numFmtId="0" fontId="3" fillId="11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 vertical="center"/>
    </xf>
    <xf numFmtId="0" fontId="3" fillId="11" borderId="36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37" xfId="0" applyFont="1" applyFill="1" applyBorder="1" applyAlignment="1" applyProtection="1">
      <alignment horizontal="center" vertical="center"/>
      <protection locked="0"/>
    </xf>
    <xf numFmtId="167" fontId="2" fillId="0" borderId="1" xfId="0" applyNumberFormat="1" applyFont="1" applyBorder="1" applyAlignment="1">
      <alignment horizontal="center" vertical="center"/>
    </xf>
    <xf numFmtId="167" fontId="2" fillId="0" borderId="14" xfId="0" applyNumberFormat="1" applyFont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17" fillId="11" borderId="1" xfId="1" applyFont="1" applyFill="1" applyBorder="1" applyAlignment="1">
      <alignment horizontal="center"/>
    </xf>
    <xf numFmtId="0" fontId="17" fillId="11" borderId="14" xfId="1" applyFont="1" applyFill="1" applyBorder="1" applyAlignment="1">
      <alignment horizontal="center"/>
    </xf>
    <xf numFmtId="0" fontId="17" fillId="11" borderId="36" xfId="1" applyFont="1" applyFill="1" applyBorder="1" applyAlignment="1">
      <alignment horizontal="center"/>
    </xf>
    <xf numFmtId="0" fontId="14" fillId="11" borderId="1" xfId="1" applyFont="1" applyFill="1" applyBorder="1"/>
    <xf numFmtId="0" fontId="14" fillId="11" borderId="36" xfId="1" applyFont="1" applyFill="1" applyBorder="1"/>
    <xf numFmtId="0" fontId="2" fillId="11" borderId="2" xfId="1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14" fillId="11" borderId="3" xfId="0" applyFont="1" applyFill="1" applyBorder="1" applyAlignment="1">
      <alignment horizontal="left"/>
    </xf>
    <xf numFmtId="0" fontId="17" fillId="11" borderId="2" xfId="0" applyFont="1" applyFill="1" applyBorder="1" applyAlignment="1">
      <alignment horizontal="center"/>
    </xf>
    <xf numFmtId="14" fontId="3" fillId="18" borderId="1" xfId="0" applyNumberFormat="1" applyFont="1" applyFill="1" applyBorder="1" applyAlignment="1">
      <alignment horizontal="center"/>
    </xf>
    <xf numFmtId="165" fontId="3" fillId="18" borderId="1" xfId="0" applyNumberFormat="1" applyFont="1" applyFill="1" applyBorder="1" applyAlignment="1">
      <alignment horizontal="center"/>
    </xf>
    <xf numFmtId="0" fontId="19" fillId="19" borderId="1" xfId="0" applyFont="1" applyFill="1" applyBorder="1" applyAlignment="1">
      <alignment horizontal="center"/>
    </xf>
    <xf numFmtId="0" fontId="23" fillId="19" borderId="1" xfId="0" applyFont="1" applyFill="1" applyBorder="1" applyAlignment="1">
      <alignment horizontal="center"/>
    </xf>
    <xf numFmtId="3" fontId="19" fillId="19" borderId="1" xfId="0" applyNumberFormat="1" applyFont="1" applyFill="1" applyBorder="1" applyAlignment="1">
      <alignment horizontal="center"/>
    </xf>
    <xf numFmtId="0" fontId="25" fillId="11" borderId="2" xfId="0" applyFont="1" applyFill="1" applyBorder="1" applyAlignment="1">
      <alignment horizontal="center"/>
    </xf>
    <xf numFmtId="0" fontId="33" fillId="11" borderId="2" xfId="0" applyFont="1" applyFill="1" applyBorder="1" applyAlignment="1">
      <alignment horizontal="center" wrapText="1"/>
    </xf>
    <xf numFmtId="0" fontId="33" fillId="11" borderId="2" xfId="0" applyFont="1" applyFill="1" applyBorder="1" applyAlignment="1">
      <alignment horizontal="center"/>
    </xf>
    <xf numFmtId="0" fontId="32" fillId="20" borderId="2" xfId="0" applyFont="1" applyFill="1" applyBorder="1" applyAlignment="1">
      <alignment horizontal="center"/>
    </xf>
    <xf numFmtId="0" fontId="36" fillId="11" borderId="2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169" fontId="2" fillId="5" borderId="20" xfId="0" applyNumberFormat="1" applyFont="1" applyFill="1" applyBorder="1" applyAlignment="1" applyProtection="1">
      <alignment horizontal="center"/>
      <protection locked="0"/>
    </xf>
    <xf numFmtId="169" fontId="2" fillId="5" borderId="5" xfId="0" applyNumberFormat="1" applyFont="1" applyFill="1" applyBorder="1" applyAlignment="1" applyProtection="1">
      <alignment horizontal="center"/>
      <protection locked="0"/>
    </xf>
    <xf numFmtId="16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quotePrefix="1" applyFont="1" applyAlignment="1">
      <alignment horizontal="center"/>
    </xf>
    <xf numFmtId="0" fontId="11" fillId="5" borderId="37" xfId="1" applyFont="1" applyFill="1" applyBorder="1" applyAlignment="1" applyProtection="1">
      <alignment horizontal="center" vertical="center"/>
      <protection locked="0"/>
    </xf>
    <xf numFmtId="0" fontId="11" fillId="13" borderId="2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center"/>
    </xf>
    <xf numFmtId="0" fontId="11" fillId="0" borderId="19" xfId="1" applyFont="1" applyBorder="1"/>
    <xf numFmtId="0" fontId="2" fillId="0" borderId="1" xfId="1" applyFont="1" applyBorder="1" applyAlignment="1">
      <alignment horizontal="center" vertical="center"/>
    </xf>
    <xf numFmtId="9" fontId="1" fillId="0" borderId="6" xfId="1" applyNumberFormat="1" applyFont="1" applyBorder="1"/>
    <xf numFmtId="0" fontId="1" fillId="0" borderId="2" xfId="1" applyFont="1" applyBorder="1"/>
  </cellXfs>
  <cellStyles count="7">
    <cellStyle name="Comma 2" xfId="4" xr:uid="{6F9C6E13-EE2B-43A2-AB2E-D6A3ECD1C0C3}"/>
    <cellStyle name="Currency" xfId="5" builtinId="4"/>
    <cellStyle name="Hyperlink" xfId="6" builtinId="8"/>
    <cellStyle name="Hyperlink 2" xfId="3" xr:uid="{7D9C0183-F9EF-4DAF-A4AC-1E4DAA057FE7}"/>
    <cellStyle name="Normal" xfId="0" builtinId="0"/>
    <cellStyle name="Normal 2" xfId="2" xr:uid="{B3792A94-BB40-40E9-A70B-37C20279F1A7}"/>
    <cellStyle name="Normal 3" xfId="1" xr:uid="{33EC9D01-546F-4EE9-8CE1-A23B4149EC35}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DE92-1913-416F-A4B9-240573DBE5D5}">
  <sheetPr codeName="Sheet2"/>
  <dimension ref="A1:T421"/>
  <sheetViews>
    <sheetView tabSelected="1" topLeftCell="A387" zoomScale="111" zoomScaleNormal="110" workbookViewId="0">
      <selection activeCell="E116" sqref="E116"/>
    </sheetView>
  </sheetViews>
  <sheetFormatPr defaultRowHeight="14.4" x14ac:dyDescent="0.3"/>
  <cols>
    <col min="1" max="1" width="15.33203125" customWidth="1"/>
    <col min="2" max="2" width="17.109375" bestFit="1" customWidth="1"/>
    <col min="3" max="3" width="12.5546875" customWidth="1"/>
    <col min="4" max="4" width="12.109375" bestFit="1" customWidth="1"/>
    <col min="5" max="5" width="13.5546875" bestFit="1" customWidth="1"/>
    <col min="6" max="6" width="13.33203125" bestFit="1" customWidth="1"/>
    <col min="7" max="7" width="10.109375" customWidth="1"/>
    <col min="9" max="9" width="8.88671875" customWidth="1"/>
    <col min="10" max="11" width="15.109375" customWidth="1"/>
    <col min="12" max="12" width="17" customWidth="1"/>
    <col min="13" max="13" width="12.88671875" customWidth="1"/>
    <col min="14" max="14" width="16.44140625" bestFit="1" customWidth="1"/>
    <col min="15" max="15" width="13.5546875" bestFit="1" customWidth="1"/>
    <col min="16" max="16" width="11.6640625" customWidth="1"/>
    <col min="17" max="17" width="12.77734375" customWidth="1"/>
    <col min="18" max="18" width="14.6640625" bestFit="1" customWidth="1"/>
    <col min="19" max="19" width="12.6640625" bestFit="1" customWidth="1"/>
    <col min="20" max="20" width="12.109375" bestFit="1" customWidth="1"/>
    <col min="21" max="21" width="12.5546875" bestFit="1" customWidth="1"/>
  </cols>
  <sheetData>
    <row r="1" spans="1:19" ht="18" thickBot="1" x14ac:dyDescent="0.35">
      <c r="A1" s="146" t="s">
        <v>15</v>
      </c>
      <c r="B1" s="147"/>
      <c r="C1" s="147"/>
      <c r="D1" s="147"/>
      <c r="E1" s="147"/>
      <c r="F1" s="148"/>
      <c r="I1" s="151" t="s">
        <v>38</v>
      </c>
      <c r="J1" s="152"/>
      <c r="K1" s="152"/>
      <c r="L1" s="152"/>
      <c r="M1" s="152"/>
      <c r="N1" s="153"/>
      <c r="O1" s="22"/>
    </row>
    <row r="2" spans="1:19" x14ac:dyDescent="0.3">
      <c r="B2" s="27" t="s">
        <v>0</v>
      </c>
      <c r="C2" s="27" t="s">
        <v>1</v>
      </c>
      <c r="D2" s="27" t="s">
        <v>2</v>
      </c>
      <c r="I2" s="174" t="s">
        <v>86</v>
      </c>
      <c r="J2" s="174"/>
      <c r="K2" s="174"/>
      <c r="L2" s="174"/>
      <c r="M2" s="174"/>
      <c r="N2" s="174"/>
      <c r="O2" s="174"/>
      <c r="P2" s="174"/>
      <c r="Q2" s="174"/>
      <c r="R2" s="23"/>
    </row>
    <row r="3" spans="1:19" x14ac:dyDescent="0.3">
      <c r="B3" s="3" t="s">
        <v>3</v>
      </c>
      <c r="C3" s="3" t="s">
        <v>4</v>
      </c>
      <c r="D3" s="3">
        <v>43</v>
      </c>
      <c r="I3" s="155" t="s">
        <v>21</v>
      </c>
      <c r="J3" s="155"/>
      <c r="K3" s="155"/>
      <c r="L3" s="155"/>
      <c r="M3" s="155"/>
      <c r="N3" s="155"/>
      <c r="O3" s="8"/>
      <c r="P3" s="8"/>
      <c r="Q3" s="8"/>
      <c r="R3" s="8"/>
    </row>
    <row r="4" spans="1:19" x14ac:dyDescent="0.3">
      <c r="B4" s="3" t="s">
        <v>3</v>
      </c>
      <c r="C4" s="3" t="s">
        <v>5</v>
      </c>
      <c r="D4" s="3">
        <v>59</v>
      </c>
      <c r="I4" s="28" t="s">
        <v>22</v>
      </c>
      <c r="J4" s="28" t="s">
        <v>23</v>
      </c>
      <c r="K4" s="28" t="s">
        <v>24</v>
      </c>
    </row>
    <row r="5" spans="1:19" x14ac:dyDescent="0.3">
      <c r="B5" s="3" t="s">
        <v>3</v>
      </c>
      <c r="C5" s="3" t="s">
        <v>6</v>
      </c>
      <c r="D5" s="3">
        <v>72</v>
      </c>
      <c r="I5" s="25" t="s">
        <v>25</v>
      </c>
      <c r="J5" s="26">
        <v>43101</v>
      </c>
      <c r="K5" s="25">
        <v>152</v>
      </c>
    </row>
    <row r="6" spans="1:19" x14ac:dyDescent="0.3">
      <c r="B6" s="4" t="s">
        <v>7</v>
      </c>
      <c r="C6" s="4" t="s">
        <v>8</v>
      </c>
      <c r="D6" s="4">
        <v>119</v>
      </c>
      <c r="I6" s="25" t="s">
        <v>26</v>
      </c>
      <c r="J6" s="26">
        <v>43101</v>
      </c>
      <c r="K6" s="25">
        <v>171</v>
      </c>
      <c r="M6" s="154" t="s">
        <v>34</v>
      </c>
      <c r="N6" s="154"/>
      <c r="O6" s="154"/>
      <c r="P6" s="154"/>
      <c r="Q6" s="154"/>
      <c r="R6" s="154"/>
    </row>
    <row r="7" spans="1:19" ht="15" thickBot="1" x14ac:dyDescent="0.35">
      <c r="B7" s="4" t="s">
        <v>7</v>
      </c>
      <c r="C7" s="4" t="s">
        <v>9</v>
      </c>
      <c r="D7" s="4">
        <v>175</v>
      </c>
      <c r="I7" s="25" t="s">
        <v>27</v>
      </c>
      <c r="J7" s="26">
        <v>43101</v>
      </c>
      <c r="K7" s="25">
        <v>110</v>
      </c>
    </row>
    <row r="8" spans="1:19" ht="15" thickBot="1" x14ac:dyDescent="0.35">
      <c r="B8" s="4" t="s">
        <v>7</v>
      </c>
      <c r="C8" s="4" t="s">
        <v>10</v>
      </c>
      <c r="D8" s="4">
        <v>192</v>
      </c>
      <c r="I8" s="25" t="s">
        <v>28</v>
      </c>
      <c r="J8" s="26">
        <v>43132</v>
      </c>
      <c r="K8" s="25">
        <v>173</v>
      </c>
      <c r="M8" s="21">
        <v>43101</v>
      </c>
      <c r="N8" s="220">
        <f>AVERAGE(K5:K7)</f>
        <v>144.33333333333334</v>
      </c>
      <c r="O8" s="7"/>
    </row>
    <row r="9" spans="1:19" ht="15" thickBot="1" x14ac:dyDescent="0.35">
      <c r="B9" s="5" t="s">
        <v>11</v>
      </c>
      <c r="C9" s="5" t="s">
        <v>12</v>
      </c>
      <c r="D9" s="5">
        <v>240</v>
      </c>
      <c r="I9" s="25" t="s">
        <v>29</v>
      </c>
      <c r="J9" s="26">
        <v>43132</v>
      </c>
      <c r="K9" s="25">
        <v>128</v>
      </c>
      <c r="M9" s="21">
        <v>43132</v>
      </c>
      <c r="N9" s="220">
        <f>AVERAGE(K8:K10)</f>
        <v>136</v>
      </c>
      <c r="O9" s="7"/>
    </row>
    <row r="10" spans="1:19" ht="15" thickBot="1" x14ac:dyDescent="0.35">
      <c r="B10" s="5" t="s">
        <v>11</v>
      </c>
      <c r="C10" s="5" t="s">
        <v>13</v>
      </c>
      <c r="D10" s="5">
        <v>405</v>
      </c>
      <c r="I10" s="25" t="s">
        <v>30</v>
      </c>
      <c r="J10" s="26">
        <v>43132</v>
      </c>
      <c r="K10" s="25">
        <v>107</v>
      </c>
      <c r="M10" s="21">
        <v>43160</v>
      </c>
      <c r="N10" s="221">
        <f>AVERAGE(K11:K13)</f>
        <v>194</v>
      </c>
      <c r="O10" s="7"/>
    </row>
    <row r="11" spans="1:19" x14ac:dyDescent="0.3">
      <c r="B11" s="5" t="s">
        <v>11</v>
      </c>
      <c r="C11" s="5" t="s">
        <v>14</v>
      </c>
      <c r="D11" s="5">
        <v>522</v>
      </c>
      <c r="I11" s="25" t="s">
        <v>31</v>
      </c>
      <c r="J11" s="26">
        <v>43160</v>
      </c>
      <c r="K11" s="25">
        <v>213</v>
      </c>
      <c r="M11" s="1"/>
      <c r="N11" s="1"/>
    </row>
    <row r="12" spans="1:19" x14ac:dyDescent="0.3">
      <c r="B12" s="1"/>
      <c r="C12" s="1"/>
      <c r="D12" s="1"/>
      <c r="E12" s="1"/>
      <c r="I12" s="25" t="s">
        <v>32</v>
      </c>
      <c r="J12" s="26">
        <v>43160</v>
      </c>
      <c r="K12" s="25">
        <v>238</v>
      </c>
    </row>
    <row r="13" spans="1:19" x14ac:dyDescent="0.3">
      <c r="A13" s="145" t="s">
        <v>20</v>
      </c>
      <c r="B13" s="145"/>
      <c r="C13" s="145"/>
      <c r="D13" s="145"/>
      <c r="E13" s="145"/>
      <c r="F13" s="145"/>
      <c r="I13" s="25" t="s">
        <v>33</v>
      </c>
      <c r="J13" s="26">
        <v>43160</v>
      </c>
      <c r="K13" s="25">
        <v>131</v>
      </c>
    </row>
    <row r="14" spans="1:19" ht="15" thickBot="1" x14ac:dyDescent="0.35">
      <c r="B14" s="6"/>
      <c r="C14" s="1"/>
      <c r="D14" s="1"/>
      <c r="E14" s="1"/>
    </row>
    <row r="15" spans="1:19" ht="15" thickBot="1" x14ac:dyDescent="0.35">
      <c r="A15" s="9">
        <v>1</v>
      </c>
      <c r="B15" s="149" t="s">
        <v>16</v>
      </c>
      <c r="C15" s="149"/>
      <c r="D15" s="149"/>
      <c r="E15" s="150"/>
      <c r="F15" s="20">
        <f>AVERAGE(D3:D5)</f>
        <v>58</v>
      </c>
      <c r="I15" s="155" t="s">
        <v>35</v>
      </c>
      <c r="J15" s="155"/>
      <c r="K15" s="155"/>
      <c r="L15" s="155"/>
      <c r="M15" s="155"/>
      <c r="N15" s="155"/>
      <c r="O15" s="155"/>
      <c r="P15" s="155"/>
      <c r="Q15" s="155"/>
      <c r="R15" s="155"/>
      <c r="S15" s="155"/>
    </row>
    <row r="16" spans="1:19" ht="15" thickBot="1" x14ac:dyDescent="0.35">
      <c r="A16" s="2"/>
      <c r="B16" s="6"/>
      <c r="C16" s="6"/>
      <c r="D16" s="1"/>
      <c r="F16" s="1"/>
    </row>
    <row r="17" spans="1:15" ht="15" thickBot="1" x14ac:dyDescent="0.35">
      <c r="A17" s="9">
        <v>2</v>
      </c>
      <c r="B17" s="149" t="s">
        <v>17</v>
      </c>
      <c r="C17" s="149"/>
      <c r="D17" s="149"/>
      <c r="E17" s="150"/>
      <c r="F17" s="20">
        <f>AVERAGE(D6:D8)</f>
        <v>162</v>
      </c>
      <c r="I17" s="154" t="s">
        <v>36</v>
      </c>
      <c r="J17" s="154"/>
      <c r="K17" s="154"/>
      <c r="L17" s="154"/>
      <c r="N17" s="222">
        <f>SUM(K5:K13)/COUNT(K5:K13)</f>
        <v>158.11111111111111</v>
      </c>
    </row>
    <row r="18" spans="1:15" ht="15" thickBot="1" x14ac:dyDescent="0.35">
      <c r="A18" s="2"/>
      <c r="B18" s="6"/>
      <c r="C18" s="6"/>
      <c r="D18" s="1"/>
      <c r="F18" s="1"/>
      <c r="I18" s="154" t="s">
        <v>37</v>
      </c>
      <c r="J18" s="154"/>
      <c r="K18" s="154"/>
      <c r="L18" s="154"/>
      <c r="N18" s="222">
        <f>AVERAGE(K5:K13)</f>
        <v>158.11111111111111</v>
      </c>
    </row>
    <row r="19" spans="1:15" ht="15" thickBot="1" x14ac:dyDescent="0.35">
      <c r="A19" s="9">
        <v>3</v>
      </c>
      <c r="B19" s="149" t="s">
        <v>18</v>
      </c>
      <c r="C19" s="149"/>
      <c r="D19" s="149"/>
      <c r="E19" s="150"/>
      <c r="F19" s="20">
        <f>AVERAGE(D9:D11)</f>
        <v>389</v>
      </c>
    </row>
    <row r="20" spans="1:15" ht="15" thickBot="1" x14ac:dyDescent="0.35">
      <c r="A20" s="2"/>
      <c r="B20" s="6"/>
      <c r="C20" s="6"/>
      <c r="D20" s="1"/>
      <c r="F20" s="1"/>
    </row>
    <row r="21" spans="1:15" ht="15" thickBot="1" x14ac:dyDescent="0.35">
      <c r="A21" s="9">
        <v>4</v>
      </c>
      <c r="B21" s="149" t="s">
        <v>19</v>
      </c>
      <c r="C21" s="149"/>
      <c r="D21" s="149"/>
      <c r="E21" s="150"/>
      <c r="F21" s="20">
        <f>AVERAGE(D3:D11)</f>
        <v>203</v>
      </c>
    </row>
    <row r="22" spans="1:15" ht="15" thickBot="1" x14ac:dyDescent="0.35"/>
    <row r="23" spans="1:15" ht="18" thickBot="1" x14ac:dyDescent="0.35">
      <c r="A23" s="146" t="s">
        <v>172</v>
      </c>
      <c r="B23" s="147"/>
      <c r="C23" s="147"/>
      <c r="D23" s="147"/>
      <c r="E23" s="147"/>
      <c r="F23" s="148"/>
      <c r="I23" s="146" t="s">
        <v>82</v>
      </c>
      <c r="J23" s="147"/>
      <c r="K23" s="147"/>
      <c r="L23" s="147"/>
      <c r="M23" s="147"/>
      <c r="N23" s="148"/>
    </row>
    <row r="24" spans="1:15" x14ac:dyDescent="0.3">
      <c r="A24" s="168" t="s">
        <v>39</v>
      </c>
      <c r="B24" s="169"/>
      <c r="C24" s="169"/>
      <c r="D24" s="169"/>
      <c r="E24" s="169"/>
      <c r="F24" s="170"/>
      <c r="I24" s="176" t="s">
        <v>54</v>
      </c>
      <c r="J24" s="176"/>
      <c r="K24" s="176"/>
      <c r="L24" s="176"/>
      <c r="M24" s="176"/>
      <c r="N24" s="176"/>
      <c r="O24" s="177"/>
    </row>
    <row r="25" spans="1:15" x14ac:dyDescent="0.3">
      <c r="A25" s="171"/>
      <c r="B25" s="172"/>
      <c r="C25" s="172"/>
      <c r="D25" s="172"/>
      <c r="E25" s="172"/>
      <c r="F25" s="173"/>
      <c r="I25" s="177" t="s">
        <v>92</v>
      </c>
      <c r="J25" s="177"/>
      <c r="K25" s="177"/>
      <c r="L25" s="177"/>
      <c r="M25" s="177"/>
      <c r="N25" s="177"/>
      <c r="O25" s="177"/>
    </row>
    <row r="26" spans="1:15" x14ac:dyDescent="0.3">
      <c r="A26" s="178" t="s">
        <v>40</v>
      </c>
      <c r="B26" s="179"/>
      <c r="C26" s="179"/>
      <c r="D26" s="179"/>
      <c r="E26" s="180"/>
      <c r="I26" s="34" t="s">
        <v>91</v>
      </c>
      <c r="J26" s="166" t="s">
        <v>55</v>
      </c>
      <c r="K26" s="167"/>
      <c r="L26" s="35" t="s">
        <v>56</v>
      </c>
      <c r="M26" s="10"/>
      <c r="N26" s="10"/>
    </row>
    <row r="27" spans="1:15" x14ac:dyDescent="0.3">
      <c r="B27" s="29" t="s">
        <v>41</v>
      </c>
      <c r="C27" s="181" t="s">
        <v>42</v>
      </c>
      <c r="D27" s="182"/>
      <c r="I27" s="15">
        <v>101</v>
      </c>
      <c r="J27" s="164" t="s">
        <v>57</v>
      </c>
      <c r="K27" s="165"/>
      <c r="L27" s="30">
        <v>78022</v>
      </c>
      <c r="M27" s="10"/>
      <c r="N27" s="10"/>
    </row>
    <row r="28" spans="1:15" x14ac:dyDescent="0.3">
      <c r="B28" s="15" t="s">
        <v>43</v>
      </c>
      <c r="C28" s="156">
        <v>7</v>
      </c>
      <c r="D28" s="157"/>
      <c r="I28" s="15">
        <v>102</v>
      </c>
      <c r="J28" s="162" t="s">
        <v>58</v>
      </c>
      <c r="K28" s="163"/>
      <c r="L28" s="30">
        <v>99819</v>
      </c>
      <c r="M28" s="10"/>
      <c r="N28" s="10"/>
    </row>
    <row r="29" spans="1:15" x14ac:dyDescent="0.3">
      <c r="B29" s="15" t="s">
        <v>44</v>
      </c>
      <c r="C29" s="156">
        <v>5</v>
      </c>
      <c r="D29" s="157"/>
      <c r="I29" s="15">
        <v>103</v>
      </c>
      <c r="J29" s="162" t="s">
        <v>59</v>
      </c>
      <c r="K29" s="163"/>
      <c r="L29" s="30" t="s">
        <v>60</v>
      </c>
      <c r="M29" s="10"/>
      <c r="N29" s="10"/>
    </row>
    <row r="30" spans="1:15" x14ac:dyDescent="0.3">
      <c r="B30" s="15" t="s">
        <v>45</v>
      </c>
      <c r="C30" s="156">
        <v>6</v>
      </c>
      <c r="D30" s="157"/>
      <c r="I30" s="15">
        <v>104</v>
      </c>
      <c r="J30" s="162" t="s">
        <v>61</v>
      </c>
      <c r="K30" s="163"/>
      <c r="L30" s="30">
        <v>27522</v>
      </c>
      <c r="M30" s="10"/>
      <c r="N30" s="10"/>
    </row>
    <row r="31" spans="1:15" x14ac:dyDescent="0.3">
      <c r="B31" s="15" t="s">
        <v>46</v>
      </c>
      <c r="C31" s="156">
        <v>4</v>
      </c>
      <c r="D31" s="157"/>
      <c r="I31" s="15">
        <v>105</v>
      </c>
      <c r="J31" s="162" t="s">
        <v>62</v>
      </c>
      <c r="K31" s="163"/>
      <c r="L31" s="30">
        <v>0</v>
      </c>
      <c r="M31" s="10"/>
      <c r="N31" s="10"/>
    </row>
    <row r="32" spans="1:15" x14ac:dyDescent="0.3">
      <c r="B32" s="15" t="s">
        <v>47</v>
      </c>
      <c r="C32" s="156" t="s">
        <v>48</v>
      </c>
      <c r="D32" s="157"/>
      <c r="I32" s="15">
        <v>106</v>
      </c>
      <c r="J32" s="162" t="s">
        <v>63</v>
      </c>
      <c r="K32" s="163"/>
      <c r="L32" s="30"/>
      <c r="M32" s="10"/>
      <c r="N32" s="10"/>
    </row>
    <row r="33" spans="1:16" x14ac:dyDescent="0.3">
      <c r="B33" s="15" t="s">
        <v>49</v>
      </c>
      <c r="C33" s="156" t="s">
        <v>50</v>
      </c>
      <c r="D33" s="157"/>
      <c r="I33" s="15">
        <v>107</v>
      </c>
      <c r="J33" s="162" t="s">
        <v>64</v>
      </c>
      <c r="K33" s="163"/>
      <c r="L33" s="30">
        <v>0</v>
      </c>
      <c r="M33" s="10"/>
      <c r="N33" s="10"/>
    </row>
    <row r="34" spans="1:16" x14ac:dyDescent="0.3">
      <c r="B34" s="15" t="s">
        <v>51</v>
      </c>
      <c r="C34" s="156" t="s">
        <v>51</v>
      </c>
      <c r="D34" s="157"/>
      <c r="I34" s="15">
        <v>108</v>
      </c>
      <c r="J34" s="162" t="s">
        <v>65</v>
      </c>
      <c r="K34" s="163"/>
      <c r="L34" s="30">
        <v>88041</v>
      </c>
      <c r="M34" s="10"/>
      <c r="N34" s="10"/>
    </row>
    <row r="35" spans="1:16" x14ac:dyDescent="0.3">
      <c r="A35" s="12"/>
      <c r="B35" s="12"/>
      <c r="I35" s="15">
        <v>109</v>
      </c>
      <c r="J35" s="162" t="s">
        <v>66</v>
      </c>
      <c r="K35" s="163"/>
      <c r="L35" s="30">
        <v>81831</v>
      </c>
      <c r="M35" s="10"/>
      <c r="N35" s="10"/>
    </row>
    <row r="36" spans="1:16" x14ac:dyDescent="0.3">
      <c r="A36" s="226" t="s">
        <v>83</v>
      </c>
      <c r="B36" s="226"/>
      <c r="C36" s="226"/>
      <c r="D36" s="226"/>
      <c r="E36" s="226"/>
      <c r="F36" s="226"/>
      <c r="H36" s="227"/>
      <c r="I36" s="15">
        <v>110</v>
      </c>
      <c r="J36" s="162" t="s">
        <v>67</v>
      </c>
      <c r="K36" s="163"/>
      <c r="L36" s="30" t="s">
        <v>60</v>
      </c>
      <c r="M36" s="10"/>
      <c r="N36" s="10"/>
    </row>
    <row r="37" spans="1:16" x14ac:dyDescent="0.3">
      <c r="A37" s="12"/>
      <c r="B37" s="12"/>
      <c r="H37" s="17"/>
      <c r="I37" s="15">
        <v>111</v>
      </c>
      <c r="J37" s="162" t="s">
        <v>68</v>
      </c>
      <c r="K37" s="163"/>
      <c r="L37" s="30"/>
      <c r="M37" s="10"/>
      <c r="N37" s="10"/>
    </row>
    <row r="38" spans="1:16" x14ac:dyDescent="0.3">
      <c r="A38" s="18" t="s">
        <v>84</v>
      </c>
      <c r="B38" s="225" t="s">
        <v>52</v>
      </c>
      <c r="C38" s="225"/>
      <c r="D38" s="225"/>
      <c r="E38" s="225"/>
      <c r="F38" s="225"/>
      <c r="G38" s="190"/>
      <c r="I38" s="15">
        <v>112</v>
      </c>
      <c r="J38" s="162" t="s">
        <v>88</v>
      </c>
      <c r="K38" s="163"/>
      <c r="L38" s="30">
        <v>26624</v>
      </c>
      <c r="M38" s="10"/>
      <c r="N38" s="10"/>
    </row>
    <row r="39" spans="1:16" ht="15" thickBot="1" x14ac:dyDescent="0.35">
      <c r="A39" s="19" t="s">
        <v>85</v>
      </c>
      <c r="B39" s="224">
        <f>COUNT(C28:D34)</f>
        <v>4</v>
      </c>
      <c r="I39" s="15">
        <v>113</v>
      </c>
      <c r="J39" s="162" t="s">
        <v>89</v>
      </c>
      <c r="K39" s="163"/>
      <c r="L39" s="30">
        <v>92885</v>
      </c>
      <c r="M39" s="10"/>
      <c r="N39" s="10"/>
    </row>
    <row r="40" spans="1:16" x14ac:dyDescent="0.3">
      <c r="A40" s="12"/>
      <c r="B40" s="12"/>
      <c r="I40" s="15">
        <v>114</v>
      </c>
      <c r="J40" s="162" t="s">
        <v>90</v>
      </c>
      <c r="K40" s="163"/>
      <c r="L40" s="30">
        <v>0</v>
      </c>
      <c r="M40" s="10"/>
      <c r="N40" s="10"/>
    </row>
    <row r="41" spans="1:16" ht="15" thickBot="1" x14ac:dyDescent="0.35">
      <c r="A41" s="18" t="s">
        <v>84</v>
      </c>
      <c r="B41" s="158" t="s">
        <v>53</v>
      </c>
      <c r="C41" s="159"/>
      <c r="D41" s="159"/>
      <c r="E41" s="159"/>
      <c r="I41" s="10"/>
      <c r="J41" s="10"/>
      <c r="K41" s="10"/>
      <c r="L41" s="10"/>
      <c r="M41" s="10"/>
      <c r="N41" s="10"/>
    </row>
    <row r="42" spans="1:16" ht="15" thickBot="1" x14ac:dyDescent="0.35">
      <c r="A42" s="19" t="s">
        <v>85</v>
      </c>
      <c r="B42" s="33">
        <f>COUNTA(C28:D34)</f>
        <v>7</v>
      </c>
      <c r="I42" s="175" t="s">
        <v>69</v>
      </c>
      <c r="J42" s="175"/>
      <c r="K42" s="175"/>
      <c r="L42" s="175"/>
      <c r="M42" s="10"/>
      <c r="N42" s="10"/>
    </row>
    <row r="43" spans="1:16" ht="15" thickBot="1" x14ac:dyDescent="0.35">
      <c r="I43" s="24" t="s">
        <v>84</v>
      </c>
      <c r="J43" s="160" t="s">
        <v>70</v>
      </c>
      <c r="K43" s="161"/>
      <c r="L43" s="161"/>
      <c r="M43" s="161"/>
      <c r="N43" s="161"/>
      <c r="O43" s="161"/>
    </row>
    <row r="44" spans="1:16" ht="15" thickBot="1" x14ac:dyDescent="0.35">
      <c r="I44" s="31" t="s">
        <v>85</v>
      </c>
      <c r="J44" s="36">
        <f>COUNT(L27:L40)</f>
        <v>10</v>
      </c>
      <c r="K44" s="10"/>
      <c r="L44" s="10"/>
      <c r="M44" s="10"/>
      <c r="N44" s="10"/>
    </row>
    <row r="45" spans="1:16" x14ac:dyDescent="0.3">
      <c r="I45" s="10"/>
      <c r="J45" s="183" t="s">
        <v>71</v>
      </c>
      <c r="K45" s="184"/>
      <c r="L45" s="184"/>
      <c r="M45" s="184"/>
      <c r="N45" s="185"/>
    </row>
    <row r="46" spans="1:16" x14ac:dyDescent="0.3">
      <c r="I46" s="10"/>
      <c r="J46" s="10"/>
      <c r="K46" s="10"/>
      <c r="L46" s="10"/>
      <c r="M46" s="10"/>
      <c r="N46" s="10"/>
    </row>
    <row r="47" spans="1:16" ht="15" thickBot="1" x14ac:dyDescent="0.35">
      <c r="I47" s="24" t="s">
        <v>84</v>
      </c>
      <c r="J47" s="186" t="s">
        <v>72</v>
      </c>
      <c r="K47" s="187"/>
      <c r="L47" s="187"/>
      <c r="M47" s="187"/>
      <c r="N47" s="187"/>
      <c r="O47" s="187"/>
      <c r="P47" s="187"/>
    </row>
    <row r="48" spans="1:16" ht="15" thickBot="1" x14ac:dyDescent="0.35">
      <c r="I48" s="31" t="s">
        <v>85</v>
      </c>
      <c r="J48" s="36">
        <f>COUNTA(L27:L40)</f>
        <v>12</v>
      </c>
      <c r="K48" s="10"/>
      <c r="L48" s="10"/>
      <c r="M48" s="10"/>
      <c r="N48" s="10"/>
    </row>
    <row r="49" spans="1:20" ht="15" thickBot="1" x14ac:dyDescent="0.35"/>
    <row r="50" spans="1:20" ht="18" thickBot="1" x14ac:dyDescent="0.35">
      <c r="A50" s="146" t="s">
        <v>81</v>
      </c>
      <c r="B50" s="147"/>
      <c r="C50" s="147"/>
      <c r="D50" s="147"/>
      <c r="E50" s="147"/>
      <c r="F50" s="148"/>
      <c r="I50" s="146" t="s">
        <v>173</v>
      </c>
      <c r="J50" s="147"/>
      <c r="K50" s="147"/>
      <c r="L50" s="147"/>
      <c r="M50" s="147"/>
      <c r="N50" s="148"/>
    </row>
    <row r="51" spans="1:20" x14ac:dyDescent="0.3">
      <c r="A51" s="12"/>
      <c r="B51" s="178" t="s">
        <v>73</v>
      </c>
      <c r="C51" s="179"/>
      <c r="D51" s="180"/>
      <c r="E51" s="12"/>
      <c r="F51" s="12"/>
      <c r="J51" s="42"/>
    </row>
    <row r="52" spans="1:20" x14ac:dyDescent="0.3">
      <c r="A52" s="12"/>
      <c r="B52" s="37"/>
      <c r="C52" s="12"/>
      <c r="D52" s="12"/>
      <c r="E52" s="12"/>
      <c r="F52" s="12"/>
      <c r="I52" s="41"/>
      <c r="J52" s="194" t="s">
        <v>104</v>
      </c>
      <c r="K52" s="194">
        <v>101</v>
      </c>
      <c r="L52" s="194">
        <v>102</v>
      </c>
      <c r="M52" s="194">
        <v>103</v>
      </c>
      <c r="N52" s="194">
        <v>104</v>
      </c>
      <c r="O52" s="194">
        <v>105</v>
      </c>
      <c r="P52" s="194">
        <v>106</v>
      </c>
      <c r="Q52" s="194">
        <v>107</v>
      </c>
      <c r="R52" s="194">
        <v>108</v>
      </c>
      <c r="S52" s="194">
        <v>109</v>
      </c>
      <c r="T52" s="194">
        <v>110</v>
      </c>
    </row>
    <row r="53" spans="1:20" x14ac:dyDescent="0.3">
      <c r="A53" s="12"/>
      <c r="B53" s="37" t="s">
        <v>74</v>
      </c>
      <c r="C53" s="12"/>
      <c r="D53" s="12"/>
      <c r="E53" s="12"/>
      <c r="F53" s="12"/>
      <c r="I53" s="41"/>
      <c r="J53" s="194" t="s">
        <v>105</v>
      </c>
      <c r="K53" s="43" t="s">
        <v>106</v>
      </c>
      <c r="L53" s="43" t="s">
        <v>107</v>
      </c>
      <c r="M53" s="43" t="s">
        <v>108</v>
      </c>
      <c r="N53" s="43" t="s">
        <v>109</v>
      </c>
      <c r="O53" s="43" t="s">
        <v>110</v>
      </c>
      <c r="P53" s="43" t="s">
        <v>111</v>
      </c>
      <c r="Q53" s="43" t="s">
        <v>112</v>
      </c>
      <c r="R53" s="43" t="s">
        <v>113</v>
      </c>
      <c r="S53" s="43" t="s">
        <v>114</v>
      </c>
      <c r="T53" s="43" t="s">
        <v>115</v>
      </c>
    </row>
    <row r="54" spans="1:20" x14ac:dyDescent="0.3">
      <c r="A54" s="12"/>
      <c r="B54" s="37">
        <v>4</v>
      </c>
      <c r="C54" s="12"/>
      <c r="D54" s="12"/>
      <c r="E54" s="12"/>
      <c r="F54" s="12"/>
      <c r="I54" s="41"/>
      <c r="J54" s="194" t="s">
        <v>116</v>
      </c>
      <c r="K54" s="43" t="s">
        <v>117</v>
      </c>
      <c r="L54" s="43" t="s">
        <v>118</v>
      </c>
      <c r="M54" s="43" t="s">
        <v>119</v>
      </c>
      <c r="N54" s="43" t="s">
        <v>120</v>
      </c>
      <c r="O54" s="43" t="s">
        <v>117</v>
      </c>
      <c r="P54" s="43" t="s">
        <v>118</v>
      </c>
      <c r="Q54" s="43" t="s">
        <v>119</v>
      </c>
      <c r="R54" s="43" t="s">
        <v>120</v>
      </c>
      <c r="S54" s="43" t="s">
        <v>117</v>
      </c>
      <c r="T54" s="43" t="s">
        <v>118</v>
      </c>
    </row>
    <row r="55" spans="1:20" x14ac:dyDescent="0.3">
      <c r="A55" s="12"/>
      <c r="B55" s="37"/>
      <c r="C55" s="12"/>
      <c r="D55" s="12"/>
      <c r="E55" s="12"/>
      <c r="F55" s="12"/>
      <c r="I55" s="41"/>
      <c r="J55" s="194" t="s">
        <v>121</v>
      </c>
      <c r="K55" s="43">
        <v>50000</v>
      </c>
      <c r="L55" s="43">
        <v>55000</v>
      </c>
      <c r="M55" s="43">
        <v>60000</v>
      </c>
      <c r="N55" s="43">
        <v>65000</v>
      </c>
      <c r="O55" s="43">
        <v>70000</v>
      </c>
      <c r="P55" s="43">
        <v>75000</v>
      </c>
      <c r="Q55" s="43">
        <v>80000</v>
      </c>
      <c r="R55" s="43">
        <v>85000</v>
      </c>
      <c r="S55" s="43">
        <v>90000</v>
      </c>
      <c r="T55" s="43">
        <v>95000</v>
      </c>
    </row>
    <row r="56" spans="1:20" x14ac:dyDescent="0.3">
      <c r="A56" s="12"/>
      <c r="B56" s="37">
        <v>3</v>
      </c>
      <c r="C56" s="12"/>
      <c r="D56" s="12"/>
      <c r="E56" s="12"/>
      <c r="F56" s="12"/>
      <c r="I56" s="41"/>
      <c r="J56" s="194" t="s">
        <v>122</v>
      </c>
      <c r="K56" s="43">
        <v>2000</v>
      </c>
      <c r="L56" s="43">
        <v>2500</v>
      </c>
      <c r="M56" s="43">
        <v>3000</v>
      </c>
      <c r="N56" s="43">
        <v>3500</v>
      </c>
      <c r="O56" s="43">
        <v>4000</v>
      </c>
      <c r="P56" s="43">
        <v>4500</v>
      </c>
      <c r="Q56" s="43">
        <v>5000</v>
      </c>
      <c r="R56" s="43">
        <v>5500</v>
      </c>
      <c r="S56" s="43">
        <v>6000</v>
      </c>
      <c r="T56" s="43">
        <v>6500</v>
      </c>
    </row>
    <row r="57" spans="1:20" x14ac:dyDescent="0.3">
      <c r="A57" s="12"/>
      <c r="B57" s="37"/>
      <c r="C57" s="12"/>
      <c r="D57" s="12"/>
      <c r="E57" s="12"/>
      <c r="F57" s="12"/>
      <c r="I57" s="41"/>
      <c r="J57" s="194" t="s">
        <v>123</v>
      </c>
      <c r="K57" s="43">
        <v>52000</v>
      </c>
      <c r="L57" s="43">
        <v>57500</v>
      </c>
      <c r="M57" s="43">
        <v>63000</v>
      </c>
      <c r="N57" s="43">
        <v>685000</v>
      </c>
      <c r="O57" s="43">
        <v>74000</v>
      </c>
      <c r="P57" s="43">
        <v>79500</v>
      </c>
      <c r="Q57" s="43">
        <v>85000</v>
      </c>
      <c r="R57" s="43">
        <v>90500</v>
      </c>
      <c r="S57" s="43">
        <v>96000</v>
      </c>
      <c r="T57" s="43">
        <v>101500</v>
      </c>
    </row>
    <row r="58" spans="1:20" x14ac:dyDescent="0.3">
      <c r="A58" s="12"/>
      <c r="B58" s="37" t="s">
        <v>75</v>
      </c>
      <c r="C58" s="12"/>
      <c r="D58" s="12"/>
      <c r="E58" s="12"/>
      <c r="F58" s="12"/>
      <c r="I58" s="41"/>
    </row>
    <row r="59" spans="1:20" ht="15" thickBot="1" x14ac:dyDescent="0.35">
      <c r="A59" s="12"/>
      <c r="B59" s="37"/>
      <c r="C59" s="12"/>
      <c r="D59" s="12"/>
      <c r="E59" s="12"/>
      <c r="F59" s="12"/>
      <c r="I59" s="41"/>
      <c r="J59" s="42" t="s">
        <v>124</v>
      </c>
    </row>
    <row r="60" spans="1:20" ht="15" thickBot="1" x14ac:dyDescent="0.35">
      <c r="A60" s="12"/>
      <c r="B60" s="37" t="e">
        <v>#DIV/0!</v>
      </c>
      <c r="C60" s="12"/>
      <c r="D60" s="12"/>
      <c r="E60" s="12"/>
      <c r="F60" s="12"/>
      <c r="I60" s="219">
        <v>1</v>
      </c>
      <c r="J60" s="41" t="s">
        <v>125</v>
      </c>
      <c r="L60" s="123" t="str">
        <f>HLOOKUP(L52,J52:T57,3,0)</f>
        <v>Marketing</v>
      </c>
    </row>
    <row r="61" spans="1:20" x14ac:dyDescent="0.3">
      <c r="A61" s="12"/>
      <c r="B61" s="37" t="s">
        <v>76</v>
      </c>
      <c r="C61" s="12"/>
      <c r="D61" s="12"/>
      <c r="E61" s="12"/>
      <c r="F61" s="12"/>
      <c r="I61" s="2"/>
    </row>
    <row r="62" spans="1:20" ht="15" thickBot="1" x14ac:dyDescent="0.35">
      <c r="A62" s="12"/>
      <c r="B62" s="37" t="s">
        <v>77</v>
      </c>
      <c r="C62" s="12"/>
      <c r="D62" s="12"/>
      <c r="E62" s="12"/>
      <c r="F62" s="12"/>
      <c r="I62" s="2"/>
      <c r="J62" s="42" t="s">
        <v>126</v>
      </c>
    </row>
    <row r="63" spans="1:20" ht="15" thickBot="1" x14ac:dyDescent="0.35">
      <c r="A63" s="12"/>
      <c r="B63" s="12"/>
      <c r="C63" s="12"/>
      <c r="D63" s="12"/>
      <c r="E63" s="12"/>
      <c r="F63" s="12"/>
      <c r="I63" s="219">
        <v>2</v>
      </c>
      <c r="J63" s="41" t="s">
        <v>125</v>
      </c>
      <c r="L63" s="123">
        <f>HLOOKUP(O52,J52:T57,4,0)</f>
        <v>70000</v>
      </c>
    </row>
    <row r="64" spans="1:20" x14ac:dyDescent="0.3">
      <c r="A64" s="12"/>
      <c r="B64" s="178" t="s">
        <v>87</v>
      </c>
      <c r="C64" s="179"/>
      <c r="D64" s="179"/>
      <c r="E64" s="179"/>
      <c r="F64" s="180"/>
      <c r="I64" s="2"/>
    </row>
    <row r="65" spans="1:15" ht="15" thickBot="1" x14ac:dyDescent="0.35">
      <c r="A65" s="12"/>
      <c r="B65" s="12"/>
      <c r="C65" s="12"/>
      <c r="D65" s="12"/>
      <c r="E65" s="12"/>
      <c r="F65" s="12"/>
      <c r="I65" s="2"/>
      <c r="J65" s="42" t="s">
        <v>127</v>
      </c>
      <c r="K65" s="42"/>
      <c r="L65" s="42"/>
    </row>
    <row r="66" spans="1:15" ht="15" thickBot="1" x14ac:dyDescent="0.35">
      <c r="A66" s="16">
        <v>1</v>
      </c>
      <c r="B66" s="188" t="s">
        <v>93</v>
      </c>
      <c r="C66" s="189"/>
      <c r="D66" s="189"/>
      <c r="E66" s="189"/>
      <c r="F66" s="189"/>
      <c r="G66" s="189"/>
      <c r="I66" s="219">
        <v>3</v>
      </c>
      <c r="J66" s="44" t="s">
        <v>125</v>
      </c>
      <c r="L66" s="123">
        <f>HLOOKUP(Q52,J52:T57,6,0)</f>
        <v>85000</v>
      </c>
    </row>
    <row r="67" spans="1:15" ht="15" thickBot="1" x14ac:dyDescent="0.35">
      <c r="A67" s="14"/>
      <c r="B67" s="33">
        <f>COUNT(B52:B62)</f>
        <v>2</v>
      </c>
      <c r="C67" s="13"/>
      <c r="D67" s="12"/>
      <c r="E67" s="12"/>
      <c r="F67" s="12"/>
    </row>
    <row r="68" spans="1:15" x14ac:dyDescent="0.3">
      <c r="A68" s="14"/>
      <c r="B68" s="12"/>
      <c r="C68" s="12"/>
      <c r="D68" s="12"/>
      <c r="E68" s="12"/>
      <c r="F68" s="12"/>
    </row>
    <row r="69" spans="1:15" ht="15" thickBot="1" x14ac:dyDescent="0.35">
      <c r="A69" s="16">
        <v>2</v>
      </c>
      <c r="B69" s="188" t="s">
        <v>78</v>
      </c>
      <c r="C69" s="189"/>
      <c r="D69" s="189"/>
      <c r="E69" s="189"/>
      <c r="F69" s="12"/>
    </row>
    <row r="70" spans="1:15" ht="15" thickBot="1" x14ac:dyDescent="0.35">
      <c r="A70" s="14"/>
      <c r="B70" s="33">
        <f>COUNTBLANK(B52:B62)</f>
        <v>4</v>
      </c>
      <c r="C70" s="13"/>
      <c r="D70" s="12"/>
      <c r="E70" s="12"/>
      <c r="F70" s="12"/>
    </row>
    <row r="71" spans="1:15" x14ac:dyDescent="0.3">
      <c r="A71" s="14"/>
      <c r="B71" s="12"/>
      <c r="C71" s="12"/>
      <c r="D71" s="12"/>
      <c r="E71" s="12"/>
      <c r="F71" s="12"/>
    </row>
    <row r="72" spans="1:15" ht="15" thickBot="1" x14ac:dyDescent="0.35">
      <c r="A72" s="16">
        <v>3</v>
      </c>
      <c r="B72" s="188" t="s">
        <v>79</v>
      </c>
      <c r="C72" s="189"/>
      <c r="D72" s="189"/>
      <c r="E72" s="189"/>
      <c r="F72" s="189"/>
    </row>
    <row r="73" spans="1:15" ht="15" thickBot="1" x14ac:dyDescent="0.35">
      <c r="A73" s="14"/>
      <c r="B73" s="33">
        <f>COUNTA(B52:B62)-COUNT(B52:B62)</f>
        <v>5</v>
      </c>
      <c r="C73" s="13"/>
      <c r="D73" s="12"/>
      <c r="E73" s="12"/>
      <c r="F73" s="12"/>
    </row>
    <row r="74" spans="1:15" x14ac:dyDescent="0.3">
      <c r="A74" s="14"/>
      <c r="B74" s="12"/>
      <c r="C74" s="12"/>
      <c r="D74" s="12"/>
      <c r="E74" s="12"/>
      <c r="F74" s="12"/>
    </row>
    <row r="75" spans="1:15" ht="15" thickBot="1" x14ac:dyDescent="0.35">
      <c r="A75" s="16">
        <v>4</v>
      </c>
      <c r="B75" s="188" t="s">
        <v>80</v>
      </c>
      <c r="C75" s="189"/>
      <c r="D75" s="189"/>
      <c r="E75" s="189"/>
      <c r="F75" s="12"/>
    </row>
    <row r="76" spans="1:15" ht="15" thickBot="1" x14ac:dyDescent="0.35">
      <c r="A76" s="11"/>
      <c r="B76" s="33">
        <f>COUNTA(B52:B62)+COUNTBLANK(B52:B62)</f>
        <v>11</v>
      </c>
      <c r="C76" s="13"/>
      <c r="D76" s="12"/>
      <c r="E76" s="12"/>
      <c r="F76" s="12"/>
    </row>
    <row r="79" spans="1:15" ht="15" thickBot="1" x14ac:dyDescent="0.35"/>
    <row r="80" spans="1:15" ht="18" thickBot="1" x14ac:dyDescent="0.35">
      <c r="A80" s="146" t="s">
        <v>174</v>
      </c>
      <c r="B80" s="147"/>
      <c r="C80" s="147"/>
      <c r="D80" s="147"/>
      <c r="E80" s="147"/>
      <c r="F80" s="148"/>
      <c r="I80" s="146" t="s">
        <v>128</v>
      </c>
      <c r="J80" s="147"/>
      <c r="K80" s="147"/>
      <c r="L80" s="147"/>
      <c r="M80" s="147"/>
      <c r="N80" s="147"/>
      <c r="O80" s="148"/>
    </row>
    <row r="81" spans="1:14" x14ac:dyDescent="0.3">
      <c r="A81" s="38" t="s">
        <v>94</v>
      </c>
      <c r="B81" s="39"/>
      <c r="C81" s="39"/>
      <c r="D81" s="39"/>
      <c r="E81" s="39"/>
      <c r="J81" s="38" t="s">
        <v>129</v>
      </c>
    </row>
    <row r="82" spans="1:14" x14ac:dyDescent="0.3">
      <c r="A82" s="7" t="s">
        <v>95</v>
      </c>
      <c r="B82" s="39"/>
      <c r="C82" s="39"/>
      <c r="D82" s="39"/>
      <c r="E82" s="39"/>
      <c r="J82" s="7" t="s">
        <v>130</v>
      </c>
    </row>
    <row r="83" spans="1:14" x14ac:dyDescent="0.3">
      <c r="A83" s="7" t="s">
        <v>96</v>
      </c>
      <c r="B83" s="39"/>
      <c r="C83" s="39"/>
      <c r="D83" s="39"/>
      <c r="E83" s="39"/>
      <c r="J83" s="38" t="s">
        <v>131</v>
      </c>
    </row>
    <row r="84" spans="1:14" x14ac:dyDescent="0.3">
      <c r="A84" s="7" t="s">
        <v>97</v>
      </c>
      <c r="B84" s="39"/>
      <c r="C84" s="39"/>
      <c r="D84" s="39"/>
      <c r="E84" s="39"/>
      <c r="J84" s="45"/>
    </row>
    <row r="85" spans="1:14" x14ac:dyDescent="0.3">
      <c r="A85" s="39"/>
      <c r="B85" s="39"/>
      <c r="C85" s="39"/>
      <c r="D85" s="39"/>
      <c r="E85" s="39"/>
      <c r="K85" s="46" t="s">
        <v>4</v>
      </c>
      <c r="L85" s="46" t="s">
        <v>5</v>
      </c>
    </row>
    <row r="86" spans="1:14" ht="15" thickBot="1" x14ac:dyDescent="0.35">
      <c r="A86" s="192" t="s">
        <v>1</v>
      </c>
      <c r="B86" s="192" t="s">
        <v>98</v>
      </c>
      <c r="C86" s="193" t="s">
        <v>99</v>
      </c>
      <c r="D86" s="39"/>
      <c r="E86" s="39"/>
      <c r="J86" s="40"/>
      <c r="K86" s="199" t="s">
        <v>132</v>
      </c>
      <c r="L86" s="199" t="s">
        <v>133</v>
      </c>
      <c r="M86" s="193" t="s">
        <v>134</v>
      </c>
    </row>
    <row r="87" spans="1:14" ht="15" thickBot="1" x14ac:dyDescent="0.35">
      <c r="A87" s="195" t="s">
        <v>100</v>
      </c>
      <c r="B87" s="138">
        <v>98</v>
      </c>
      <c r="C87" s="32" t="str">
        <f>IF(B87&gt;=60,"Pass","Fail")</f>
        <v>Pass</v>
      </c>
      <c r="D87" s="7"/>
      <c r="E87" s="39"/>
      <c r="J87" s="195" t="s">
        <v>135</v>
      </c>
      <c r="K87" s="197">
        <v>94</v>
      </c>
      <c r="L87" s="198">
        <v>94</v>
      </c>
      <c r="M87" s="32" t="str">
        <f>IF(K87=L87,"Match","No Match")</f>
        <v>Match</v>
      </c>
      <c r="N87" s="7"/>
    </row>
    <row r="88" spans="1:14" ht="15" thickBot="1" x14ac:dyDescent="0.35">
      <c r="A88" s="195" t="s">
        <v>101</v>
      </c>
      <c r="B88" s="138">
        <v>55</v>
      </c>
      <c r="C88" s="32" t="str">
        <f>IF(B88&gt;=60,"Pass","Fail")</f>
        <v>Fail</v>
      </c>
      <c r="D88" s="7"/>
      <c r="E88" s="39"/>
      <c r="J88" s="195" t="s">
        <v>136</v>
      </c>
      <c r="K88" s="197">
        <v>109</v>
      </c>
      <c r="L88" s="198">
        <v>109</v>
      </c>
      <c r="M88" s="32" t="str">
        <f>IF(K88=L88,"Match","No Match")</f>
        <v>Match</v>
      </c>
      <c r="N88" s="7"/>
    </row>
    <row r="89" spans="1:14" ht="15" thickBot="1" x14ac:dyDescent="0.35">
      <c r="A89" s="195" t="s">
        <v>102</v>
      </c>
      <c r="B89" s="138">
        <v>15</v>
      </c>
      <c r="C89" s="32" t="str">
        <f t="shared" ref="C89:C90" si="0">IF(B89&gt;=60,"Pass","Fail")</f>
        <v>Fail</v>
      </c>
      <c r="D89" s="7"/>
      <c r="E89" s="39"/>
      <c r="J89" s="195" t="s">
        <v>137</v>
      </c>
      <c r="K89" s="197">
        <v>85</v>
      </c>
      <c r="L89" s="198">
        <v>85.5</v>
      </c>
      <c r="M89" s="32" t="str">
        <f>IF(K89=L89,"Match","No Match")</f>
        <v>No Match</v>
      </c>
      <c r="N89" s="7"/>
    </row>
    <row r="90" spans="1:14" ht="15" thickBot="1" x14ac:dyDescent="0.35">
      <c r="A90" s="195" t="s">
        <v>103</v>
      </c>
      <c r="B90" s="138">
        <v>60</v>
      </c>
      <c r="C90" s="196" t="str">
        <f t="shared" si="0"/>
        <v>Pass</v>
      </c>
      <c r="D90" s="7"/>
      <c r="E90" s="39"/>
      <c r="J90" s="195" t="s">
        <v>138</v>
      </c>
      <c r="K90" s="197">
        <v>12</v>
      </c>
      <c r="L90" s="198">
        <v>12</v>
      </c>
      <c r="M90" s="32" t="str">
        <f>IF(K90=L90,"Match","No Match")</f>
        <v>Match</v>
      </c>
      <c r="N90" s="7"/>
    </row>
    <row r="91" spans="1:14" ht="15" thickBot="1" x14ac:dyDescent="0.35"/>
    <row r="92" spans="1:14" ht="18" thickBot="1" x14ac:dyDescent="0.35">
      <c r="A92" s="146" t="s">
        <v>171</v>
      </c>
      <c r="B92" s="147"/>
      <c r="C92" s="147"/>
      <c r="D92" s="147"/>
      <c r="E92" s="147"/>
      <c r="F92" s="147"/>
      <c r="G92" s="148"/>
    </row>
    <row r="93" spans="1:14" x14ac:dyDescent="0.3">
      <c r="A93" s="11"/>
      <c r="B93" s="48" t="s">
        <v>139</v>
      </c>
      <c r="C93" s="11"/>
      <c r="D93" s="11"/>
      <c r="E93" s="11"/>
      <c r="F93" s="11"/>
      <c r="G93" s="11"/>
      <c r="H93" s="11"/>
    </row>
    <row r="94" spans="1:14" x14ac:dyDescent="0.3">
      <c r="A94" s="49">
        <v>1</v>
      </c>
      <c r="B94" s="50" t="s">
        <v>140</v>
      </c>
      <c r="C94" s="11"/>
      <c r="D94" s="11"/>
      <c r="E94" s="11"/>
      <c r="F94" s="11"/>
      <c r="G94" s="11"/>
      <c r="H94" s="11"/>
    </row>
    <row r="95" spans="1:14" x14ac:dyDescent="0.3">
      <c r="A95" s="49"/>
      <c r="B95" s="51"/>
      <c r="C95" s="11"/>
      <c r="D95" s="11"/>
      <c r="E95" s="11"/>
      <c r="F95" s="11"/>
      <c r="G95" s="11"/>
      <c r="H95" s="11"/>
    </row>
    <row r="96" spans="1:14" x14ac:dyDescent="0.3">
      <c r="A96" s="49">
        <v>2</v>
      </c>
      <c r="B96" s="50" t="s">
        <v>141</v>
      </c>
      <c r="C96" s="11"/>
      <c r="D96" s="11"/>
      <c r="E96" s="11"/>
      <c r="F96" s="11"/>
      <c r="G96" s="11"/>
      <c r="H96" s="11"/>
    </row>
    <row r="97" spans="1:16" x14ac:dyDescent="0.3">
      <c r="A97" s="49"/>
      <c r="B97" s="48"/>
      <c r="C97" s="11"/>
      <c r="D97" s="11"/>
      <c r="E97" s="11"/>
      <c r="F97" s="11"/>
      <c r="G97" s="11"/>
      <c r="H97" s="11"/>
    </row>
    <row r="98" spans="1:16" x14ac:dyDescent="0.3">
      <c r="A98" s="11"/>
      <c r="B98" s="11"/>
      <c r="C98" s="11"/>
      <c r="D98" s="11"/>
      <c r="E98" s="228" t="s">
        <v>142</v>
      </c>
      <c r="F98" s="228" t="s">
        <v>143</v>
      </c>
      <c r="G98" s="11"/>
      <c r="H98" s="11"/>
    </row>
    <row r="99" spans="1:16" ht="15" thickBot="1" x14ac:dyDescent="0.35">
      <c r="A99" s="11"/>
      <c r="B99" s="200" t="s">
        <v>144</v>
      </c>
      <c r="C99" s="200" t="s">
        <v>1</v>
      </c>
      <c r="D99" s="201" t="s">
        <v>145</v>
      </c>
      <c r="E99" s="202" t="s">
        <v>146</v>
      </c>
      <c r="F99" s="202" t="s">
        <v>147</v>
      </c>
      <c r="G99" s="11"/>
      <c r="H99" s="48"/>
    </row>
    <row r="100" spans="1:16" ht="15" thickBot="1" x14ac:dyDescent="0.35">
      <c r="A100" s="11"/>
      <c r="B100" s="47">
        <v>1</v>
      </c>
      <c r="C100" s="47" t="s">
        <v>148</v>
      </c>
      <c r="D100" s="52">
        <v>16</v>
      </c>
      <c r="E100" s="124" t="str">
        <f>IF(D100&gt;=16,"Eligible","Not Eligible")</f>
        <v>Eligible</v>
      </c>
      <c r="F100" s="124" t="str">
        <f>IF(D100&gt;=18,"Adult","Minor")</f>
        <v>Minor</v>
      </c>
      <c r="G100" s="11"/>
      <c r="H100" s="48"/>
    </row>
    <row r="101" spans="1:16" ht="15" thickBot="1" x14ac:dyDescent="0.35">
      <c r="A101" s="11"/>
      <c r="B101" s="47">
        <v>2</v>
      </c>
      <c r="C101" s="47" t="s">
        <v>149</v>
      </c>
      <c r="D101" s="52">
        <v>18</v>
      </c>
      <c r="E101" s="124" t="str">
        <f t="shared" ref="E101:E107" si="1">IF(D101&gt;=16,"Eligible","Not Eligible")</f>
        <v>Eligible</v>
      </c>
      <c r="F101" s="124" t="str">
        <f t="shared" ref="F101:F107" si="2">IF(D101&gt;=18,"Adult","Minor")</f>
        <v>Adult</v>
      </c>
      <c r="G101" s="11"/>
      <c r="H101" s="48"/>
    </row>
    <row r="102" spans="1:16" ht="15" thickBot="1" x14ac:dyDescent="0.35">
      <c r="A102" s="11"/>
      <c r="B102" s="47">
        <v>3</v>
      </c>
      <c r="C102" s="47" t="s">
        <v>150</v>
      </c>
      <c r="D102" s="52">
        <v>15.5</v>
      </c>
      <c r="E102" s="124" t="str">
        <f t="shared" si="1"/>
        <v>Not Eligible</v>
      </c>
      <c r="F102" s="124" t="str">
        <f t="shared" si="2"/>
        <v>Minor</v>
      </c>
      <c r="G102" s="11"/>
      <c r="H102" s="48"/>
    </row>
    <row r="103" spans="1:16" ht="15" thickBot="1" x14ac:dyDescent="0.35">
      <c r="A103" s="11"/>
      <c r="B103" s="47">
        <v>4</v>
      </c>
      <c r="C103" s="47" t="s">
        <v>151</v>
      </c>
      <c r="D103" s="52">
        <v>19</v>
      </c>
      <c r="E103" s="124" t="str">
        <f t="shared" si="1"/>
        <v>Eligible</v>
      </c>
      <c r="F103" s="124" t="str">
        <f t="shared" si="2"/>
        <v>Adult</v>
      </c>
      <c r="G103" s="11"/>
      <c r="H103" s="48"/>
    </row>
    <row r="104" spans="1:16" ht="15" thickBot="1" x14ac:dyDescent="0.35">
      <c r="A104" s="11"/>
      <c r="B104" s="47">
        <v>5</v>
      </c>
      <c r="C104" s="47" t="s">
        <v>152</v>
      </c>
      <c r="D104" s="52">
        <v>18</v>
      </c>
      <c r="E104" s="124" t="str">
        <f t="shared" si="1"/>
        <v>Eligible</v>
      </c>
      <c r="F104" s="124" t="str">
        <f t="shared" si="2"/>
        <v>Adult</v>
      </c>
      <c r="G104" s="11"/>
      <c r="H104" s="48"/>
    </row>
    <row r="105" spans="1:16" ht="15" thickBot="1" x14ac:dyDescent="0.35">
      <c r="A105" s="11"/>
      <c r="B105" s="47">
        <v>6</v>
      </c>
      <c r="C105" s="47" t="s">
        <v>153</v>
      </c>
      <c r="D105" s="52">
        <v>13</v>
      </c>
      <c r="E105" s="124" t="str">
        <f t="shared" si="1"/>
        <v>Not Eligible</v>
      </c>
      <c r="F105" s="124" t="str">
        <f t="shared" si="2"/>
        <v>Minor</v>
      </c>
      <c r="G105" s="11"/>
      <c r="H105" s="48"/>
    </row>
    <row r="106" spans="1:16" ht="15" thickBot="1" x14ac:dyDescent="0.35">
      <c r="A106" s="11"/>
      <c r="B106" s="47">
        <v>7</v>
      </c>
      <c r="C106" s="47" t="s">
        <v>154</v>
      </c>
      <c r="D106" s="52">
        <v>18</v>
      </c>
      <c r="E106" s="124" t="str">
        <f t="shared" si="1"/>
        <v>Eligible</v>
      </c>
      <c r="F106" s="124" t="str">
        <f t="shared" si="2"/>
        <v>Adult</v>
      </c>
      <c r="G106" s="11"/>
      <c r="H106" s="48"/>
    </row>
    <row r="107" spans="1:16" ht="15" thickBot="1" x14ac:dyDescent="0.35">
      <c r="A107" s="11"/>
      <c r="B107" s="47">
        <v>8</v>
      </c>
      <c r="C107" s="47" t="s">
        <v>155</v>
      </c>
      <c r="D107" s="52">
        <v>17</v>
      </c>
      <c r="E107" s="124" t="str">
        <f t="shared" si="1"/>
        <v>Eligible</v>
      </c>
      <c r="F107" s="124" t="str">
        <f t="shared" si="2"/>
        <v>Minor</v>
      </c>
      <c r="G107" s="11"/>
      <c r="H107" s="48"/>
    </row>
    <row r="109" spans="1:16" ht="15" thickBot="1" x14ac:dyDescent="0.35"/>
    <row r="110" spans="1:16" ht="18" thickBot="1" x14ac:dyDescent="0.35">
      <c r="A110" s="146" t="s">
        <v>170</v>
      </c>
      <c r="B110" s="147"/>
      <c r="C110" s="147"/>
      <c r="D110" s="147"/>
      <c r="E110" s="147"/>
      <c r="F110" s="147"/>
      <c r="G110" s="148"/>
      <c r="J110" s="146" t="s">
        <v>203</v>
      </c>
      <c r="K110" s="147"/>
      <c r="L110" s="147"/>
      <c r="M110" s="147"/>
      <c r="N110" s="147"/>
      <c r="O110" s="147"/>
      <c r="P110" s="148"/>
    </row>
    <row r="111" spans="1:16" x14ac:dyDescent="0.3">
      <c r="A111" s="53" t="s">
        <v>156</v>
      </c>
      <c r="B111" s="11"/>
      <c r="C111" s="11"/>
      <c r="D111" s="11"/>
      <c r="J111" s="59" t="s">
        <v>175</v>
      </c>
      <c r="K111" s="7"/>
      <c r="L111" s="7"/>
      <c r="M111" s="7"/>
      <c r="N111" s="7"/>
      <c r="O111" s="7"/>
    </row>
    <row r="112" spans="1:16" x14ac:dyDescent="0.3">
      <c r="J112" s="7" t="s">
        <v>176</v>
      </c>
      <c r="K112" s="7"/>
      <c r="L112" s="7"/>
      <c r="M112" s="7"/>
      <c r="N112" s="7"/>
      <c r="O112" s="7"/>
    </row>
    <row r="113" spans="1:15" x14ac:dyDescent="0.3">
      <c r="A113" s="11"/>
      <c r="B113" s="230" t="s">
        <v>56</v>
      </c>
      <c r="C113" s="11"/>
      <c r="D113" s="11"/>
      <c r="J113" s="223" t="s">
        <v>177</v>
      </c>
      <c r="K113" s="7" t="s">
        <v>178</v>
      </c>
      <c r="L113" s="7"/>
      <c r="M113" s="7"/>
      <c r="N113" s="7"/>
      <c r="O113" s="7"/>
    </row>
    <row r="114" spans="1:15" x14ac:dyDescent="0.3">
      <c r="A114" s="54" t="s">
        <v>157</v>
      </c>
      <c r="B114" s="229">
        <v>1</v>
      </c>
      <c r="C114" s="11"/>
      <c r="D114" s="11"/>
      <c r="J114" s="61" t="s">
        <v>179</v>
      </c>
      <c r="K114" s="7" t="s">
        <v>180</v>
      </c>
      <c r="L114" s="7"/>
      <c r="M114" s="7"/>
      <c r="N114" s="7"/>
      <c r="O114" s="7"/>
    </row>
    <row r="115" spans="1:15" x14ac:dyDescent="0.3">
      <c r="A115" s="54" t="s">
        <v>158</v>
      </c>
      <c r="B115" s="55">
        <v>0.5</v>
      </c>
      <c r="C115" s="11"/>
      <c r="D115" s="11"/>
      <c r="J115" s="223" t="s">
        <v>181</v>
      </c>
      <c r="K115" s="7" t="s">
        <v>182</v>
      </c>
      <c r="L115" s="7"/>
      <c r="M115" s="7"/>
      <c r="N115" s="7"/>
      <c r="O115" s="7"/>
    </row>
    <row r="116" spans="1:15" x14ac:dyDescent="0.3">
      <c r="J116" s="61" t="s">
        <v>183</v>
      </c>
      <c r="K116" s="7" t="s">
        <v>184</v>
      </c>
      <c r="L116" s="7"/>
      <c r="M116" s="7"/>
      <c r="N116" s="7"/>
      <c r="O116" s="7"/>
    </row>
    <row r="117" spans="1:15" x14ac:dyDescent="0.3">
      <c r="A117" s="53" t="s">
        <v>159</v>
      </c>
      <c r="B117" s="11"/>
      <c r="C117" s="11"/>
      <c r="D117" s="11"/>
      <c r="J117" s="61" t="s">
        <v>185</v>
      </c>
      <c r="K117" s="7" t="s">
        <v>186</v>
      </c>
      <c r="L117" s="7"/>
      <c r="M117" s="7"/>
      <c r="N117" s="7"/>
      <c r="O117" s="7"/>
    </row>
    <row r="118" spans="1:15" x14ac:dyDescent="0.3">
      <c r="A118" s="53" t="s">
        <v>160</v>
      </c>
      <c r="B118" s="11"/>
      <c r="C118" s="11"/>
      <c r="D118" s="11"/>
      <c r="J118" s="61" t="s">
        <v>187</v>
      </c>
      <c r="K118" s="7" t="s">
        <v>188</v>
      </c>
      <c r="L118" s="7"/>
      <c r="M118" s="7"/>
      <c r="N118" s="7"/>
      <c r="O118" s="7"/>
    </row>
    <row r="119" spans="1:15" x14ac:dyDescent="0.3">
      <c r="J119" s="7"/>
      <c r="K119" s="7"/>
      <c r="L119" s="7"/>
      <c r="M119" s="7"/>
      <c r="N119" s="7"/>
      <c r="O119" s="7"/>
    </row>
    <row r="120" spans="1:15" ht="15" thickBot="1" x14ac:dyDescent="0.35">
      <c r="A120" s="203" t="s">
        <v>1</v>
      </c>
      <c r="B120" s="203" t="s">
        <v>161</v>
      </c>
      <c r="C120" s="203" t="s">
        <v>162</v>
      </c>
      <c r="D120" s="204" t="s">
        <v>163</v>
      </c>
      <c r="J120" s="45" t="s">
        <v>189</v>
      </c>
      <c r="K120" s="7"/>
      <c r="L120" s="7"/>
      <c r="M120" s="7"/>
      <c r="N120" s="7"/>
      <c r="O120" s="7"/>
    </row>
    <row r="121" spans="1:15" ht="15" thickBot="1" x14ac:dyDescent="0.35">
      <c r="A121" s="54" t="s">
        <v>164</v>
      </c>
      <c r="B121" s="54" t="s">
        <v>157</v>
      </c>
      <c r="C121" s="125">
        <v>46866</v>
      </c>
      <c r="D121" s="126">
        <f>IF(B121="A+",C121*1,C121*0.5)</f>
        <v>46866</v>
      </c>
      <c r="J121" s="63">
        <v>2</v>
      </c>
      <c r="K121" s="46" t="s">
        <v>190</v>
      </c>
      <c r="L121" s="127">
        <v>3</v>
      </c>
      <c r="M121" s="20">
        <f>J121+L121</f>
        <v>5</v>
      </c>
      <c r="N121" s="7"/>
      <c r="O121" s="7"/>
    </row>
    <row r="122" spans="1:15" ht="15" thickBot="1" x14ac:dyDescent="0.35">
      <c r="A122" s="54" t="s">
        <v>165</v>
      </c>
      <c r="B122" s="54" t="s">
        <v>158</v>
      </c>
      <c r="C122" s="125">
        <v>33495</v>
      </c>
      <c r="D122" s="126">
        <f t="shared" ref="D122:D127" si="3">IF(B122="A+",C122*1,C122*0.5)</f>
        <v>16747.5</v>
      </c>
      <c r="J122" s="63">
        <v>3</v>
      </c>
      <c r="K122" s="46" t="s">
        <v>191</v>
      </c>
      <c r="L122" s="127">
        <v>1</v>
      </c>
      <c r="M122" s="20">
        <f>J122-L122</f>
        <v>2</v>
      </c>
      <c r="N122" s="7"/>
      <c r="O122" s="7"/>
    </row>
    <row r="123" spans="1:15" ht="15" thickBot="1" x14ac:dyDescent="0.35">
      <c r="A123" s="54" t="s">
        <v>166</v>
      </c>
      <c r="B123" s="54" t="s">
        <v>158</v>
      </c>
      <c r="C123" s="125">
        <v>35087</v>
      </c>
      <c r="D123" s="126">
        <f t="shared" si="3"/>
        <v>17543.5</v>
      </c>
      <c r="J123" s="63">
        <v>5</v>
      </c>
      <c r="K123" s="46" t="s">
        <v>192</v>
      </c>
      <c r="L123" s="127">
        <v>10</v>
      </c>
      <c r="M123" s="20">
        <f>J123*L123</f>
        <v>50</v>
      </c>
      <c r="N123" s="7"/>
      <c r="O123" s="7"/>
    </row>
    <row r="124" spans="1:15" ht="15" thickBot="1" x14ac:dyDescent="0.35">
      <c r="A124" s="54" t="s">
        <v>167</v>
      </c>
      <c r="B124" s="54" t="s">
        <v>157</v>
      </c>
      <c r="C124" s="125">
        <v>42603</v>
      </c>
      <c r="D124" s="126">
        <f t="shared" si="3"/>
        <v>42603</v>
      </c>
      <c r="J124" s="63">
        <v>10</v>
      </c>
      <c r="K124" s="46" t="s">
        <v>193</v>
      </c>
      <c r="L124" s="127">
        <v>2</v>
      </c>
      <c r="M124" s="20">
        <f>J124/L124</f>
        <v>5</v>
      </c>
      <c r="N124" s="7"/>
      <c r="O124" s="7"/>
    </row>
    <row r="125" spans="1:15" ht="15" thickBot="1" x14ac:dyDescent="0.35">
      <c r="A125" s="54" t="s">
        <v>152</v>
      </c>
      <c r="B125" s="54" t="s">
        <v>158</v>
      </c>
      <c r="C125" s="125">
        <v>36971</v>
      </c>
      <c r="D125" s="126">
        <f t="shared" si="3"/>
        <v>18485.5</v>
      </c>
      <c r="J125" s="7"/>
      <c r="K125" s="7"/>
      <c r="L125" s="7"/>
      <c r="M125" s="7"/>
      <c r="N125" s="7"/>
      <c r="O125" s="7"/>
    </row>
    <row r="126" spans="1:15" ht="15" thickBot="1" x14ac:dyDescent="0.35">
      <c r="A126" s="54" t="s">
        <v>168</v>
      </c>
      <c r="B126" s="54" t="s">
        <v>157</v>
      </c>
      <c r="C126" s="125">
        <v>41286</v>
      </c>
      <c r="D126" s="126">
        <f t="shared" si="3"/>
        <v>41286</v>
      </c>
      <c r="J126" s="7"/>
      <c r="K126" s="7"/>
      <c r="L126" s="7"/>
      <c r="M126" s="7"/>
      <c r="N126" s="7"/>
      <c r="O126" s="7"/>
    </row>
    <row r="127" spans="1:15" ht="15" thickBot="1" x14ac:dyDescent="0.35">
      <c r="A127" s="54" t="s">
        <v>169</v>
      </c>
      <c r="B127" s="54" t="s">
        <v>158</v>
      </c>
      <c r="C127" s="125">
        <v>37732</v>
      </c>
      <c r="D127" s="126">
        <f t="shared" si="3"/>
        <v>18866</v>
      </c>
      <c r="J127" s="45" t="s">
        <v>194</v>
      </c>
      <c r="K127" s="7"/>
      <c r="L127" s="7"/>
      <c r="M127" s="7"/>
      <c r="N127" s="7"/>
      <c r="O127" s="7"/>
    </row>
    <row r="128" spans="1:15" ht="15" thickBot="1" x14ac:dyDescent="0.35">
      <c r="J128" s="65">
        <v>10</v>
      </c>
      <c r="K128" s="46" t="s">
        <v>195</v>
      </c>
      <c r="L128" s="127">
        <v>100</v>
      </c>
      <c r="M128" s="129">
        <f>J128/L128</f>
        <v>0.1</v>
      </c>
      <c r="N128" s="7"/>
      <c r="O128" s="7"/>
    </row>
    <row r="129" spans="1:16" ht="15" thickBot="1" x14ac:dyDescent="0.35">
      <c r="J129" s="65">
        <v>3</v>
      </c>
      <c r="K129" s="46" t="s">
        <v>195</v>
      </c>
      <c r="L129" s="127">
        <v>6</v>
      </c>
      <c r="M129" s="129">
        <f t="shared" ref="M129:M130" si="4">J129/L129</f>
        <v>0.5</v>
      </c>
      <c r="N129" s="7"/>
      <c r="O129" s="7"/>
    </row>
    <row r="130" spans="1:16" ht="15" thickBot="1" x14ac:dyDescent="0.35">
      <c r="J130" s="64">
        <v>1.5</v>
      </c>
      <c r="K130" s="46" t="s">
        <v>195</v>
      </c>
      <c r="L130" s="127">
        <v>1</v>
      </c>
      <c r="M130" s="129">
        <f t="shared" si="4"/>
        <v>1.5</v>
      </c>
      <c r="N130" s="7"/>
      <c r="O130" s="7"/>
    </row>
    <row r="131" spans="1:16" x14ac:dyDescent="0.3">
      <c r="J131" s="7"/>
      <c r="K131" s="7"/>
      <c r="L131" s="7"/>
      <c r="M131" s="7"/>
      <c r="N131" s="7"/>
      <c r="O131" s="7"/>
    </row>
    <row r="132" spans="1:16" x14ac:dyDescent="0.3">
      <c r="J132" s="45" t="s">
        <v>196</v>
      </c>
      <c r="K132" s="7"/>
      <c r="L132" s="7"/>
      <c r="M132" s="7"/>
      <c r="N132" s="7"/>
      <c r="O132" s="7"/>
    </row>
    <row r="133" spans="1:16" ht="15" thickBot="1" x14ac:dyDescent="0.35">
      <c r="J133" s="57" t="s">
        <v>197</v>
      </c>
      <c r="K133" s="57" t="s">
        <v>198</v>
      </c>
      <c r="L133" s="57" t="s">
        <v>199</v>
      </c>
      <c r="M133" s="128" t="s">
        <v>200</v>
      </c>
      <c r="N133" s="59"/>
      <c r="O133" s="7"/>
    </row>
    <row r="134" spans="1:16" ht="15" thickBot="1" x14ac:dyDescent="0.35">
      <c r="J134" s="46" t="s">
        <v>201</v>
      </c>
      <c r="K134" s="63">
        <v>100</v>
      </c>
      <c r="L134" s="127">
        <v>150</v>
      </c>
      <c r="M134" s="129">
        <f>(L134-K134)/K134</f>
        <v>0.5</v>
      </c>
      <c r="N134" s="60"/>
      <c r="O134" s="7"/>
    </row>
    <row r="135" spans="1:16" ht="15" thickBot="1" x14ac:dyDescent="0.35">
      <c r="J135" s="46" t="s">
        <v>202</v>
      </c>
      <c r="K135" s="63">
        <v>100</v>
      </c>
      <c r="L135" s="127">
        <v>50</v>
      </c>
      <c r="M135" s="129">
        <f>(L135-K135)/K135</f>
        <v>-0.5</v>
      </c>
      <c r="N135" s="60"/>
      <c r="O135" s="7"/>
    </row>
    <row r="136" spans="1:16" ht="15" thickBot="1" x14ac:dyDescent="0.35"/>
    <row r="137" spans="1:16" ht="18" thickBot="1" x14ac:dyDescent="0.35">
      <c r="A137" s="146" t="s">
        <v>204</v>
      </c>
      <c r="B137" s="147"/>
      <c r="C137" s="147"/>
      <c r="D137" s="147"/>
      <c r="E137" s="147"/>
      <c r="F137" s="147"/>
      <c r="G137" s="148"/>
      <c r="J137" s="146" t="s">
        <v>216</v>
      </c>
      <c r="K137" s="147"/>
      <c r="L137" s="147"/>
      <c r="M137" s="147"/>
      <c r="N137" s="147"/>
      <c r="O137" s="147"/>
      <c r="P137" s="148"/>
    </row>
    <row r="138" spans="1:16" x14ac:dyDescent="0.3">
      <c r="A138" s="1"/>
      <c r="B138" s="7" t="s">
        <v>205</v>
      </c>
    </row>
    <row r="139" spans="1:16" x14ac:dyDescent="0.3">
      <c r="A139" s="66"/>
      <c r="B139" s="67" t="s">
        <v>206</v>
      </c>
      <c r="C139" s="68"/>
      <c r="J139" s="48" t="s">
        <v>217</v>
      </c>
      <c r="K139" s="11"/>
      <c r="L139" s="11"/>
      <c r="M139" s="11"/>
      <c r="N139" s="11"/>
      <c r="O139" s="11"/>
    </row>
    <row r="140" spans="1:16" x14ac:dyDescent="0.3">
      <c r="A140" s="61">
        <v>1</v>
      </c>
      <c r="B140" s="7" t="s">
        <v>207</v>
      </c>
    </row>
    <row r="141" spans="1:16" x14ac:dyDescent="0.3">
      <c r="A141" s="62"/>
      <c r="B141" s="191" t="s">
        <v>1</v>
      </c>
      <c r="C141" s="191" t="s">
        <v>2</v>
      </c>
      <c r="J141" s="48" t="s">
        <v>218</v>
      </c>
      <c r="K141" s="11"/>
      <c r="L141" s="11"/>
      <c r="M141" s="11"/>
      <c r="N141" s="11"/>
      <c r="O141" s="11"/>
    </row>
    <row r="142" spans="1:16" x14ac:dyDescent="0.3">
      <c r="A142" s="61"/>
      <c r="B142" s="72" t="s">
        <v>208</v>
      </c>
      <c r="C142" s="72">
        <v>200</v>
      </c>
      <c r="J142" s="48" t="s">
        <v>219</v>
      </c>
      <c r="K142" s="11"/>
      <c r="L142" s="11"/>
      <c r="M142" s="11"/>
      <c r="N142" s="11"/>
      <c r="O142" s="11"/>
    </row>
    <row r="143" spans="1:16" x14ac:dyDescent="0.3">
      <c r="A143" s="61"/>
      <c r="B143" s="72" t="s">
        <v>209</v>
      </c>
      <c r="C143" s="72">
        <v>120</v>
      </c>
      <c r="J143" s="48" t="s">
        <v>220</v>
      </c>
      <c r="K143" s="11"/>
      <c r="L143" s="11"/>
      <c r="M143" s="11"/>
      <c r="N143" s="11"/>
      <c r="O143" s="11"/>
    </row>
    <row r="144" spans="1:16" x14ac:dyDescent="0.3">
      <c r="A144" s="61"/>
      <c r="B144" s="72" t="s">
        <v>210</v>
      </c>
      <c r="C144" s="72">
        <v>156</v>
      </c>
      <c r="J144" s="48"/>
      <c r="K144" s="11"/>
      <c r="L144" s="11"/>
      <c r="M144" s="11"/>
      <c r="N144" s="11"/>
      <c r="O144" s="11"/>
    </row>
    <row r="145" spans="1:16" ht="15" thickBot="1" x14ac:dyDescent="0.35">
      <c r="A145" s="61"/>
      <c r="B145" s="72" t="s">
        <v>211</v>
      </c>
      <c r="C145" s="72">
        <v>190</v>
      </c>
      <c r="J145" s="69"/>
      <c r="K145" s="205" t="s">
        <v>221</v>
      </c>
      <c r="L145" s="205" t="s">
        <v>222</v>
      </c>
      <c r="M145" s="205" t="s">
        <v>223</v>
      </c>
      <c r="N145" s="205" t="s">
        <v>224</v>
      </c>
      <c r="O145" s="11"/>
    </row>
    <row r="146" spans="1:16" ht="15" thickBot="1" x14ac:dyDescent="0.35">
      <c r="A146" s="61"/>
      <c r="B146" s="72" t="s">
        <v>212</v>
      </c>
      <c r="C146" s="72">
        <v>320</v>
      </c>
      <c r="J146" s="205" t="s">
        <v>225</v>
      </c>
      <c r="K146" s="70">
        <v>95</v>
      </c>
      <c r="L146" s="70">
        <v>56</v>
      </c>
      <c r="M146" s="70">
        <v>14</v>
      </c>
      <c r="N146" s="71">
        <v>66</v>
      </c>
      <c r="O146" s="124" t="str" cm="1">
        <f t="array" ref="O146">IF(AND(K146:N146&gt;=50),"Pass","Fail")</f>
        <v>Fail</v>
      </c>
    </row>
    <row r="147" spans="1:16" ht="15" thickBot="1" x14ac:dyDescent="0.35">
      <c r="A147" s="61"/>
      <c r="B147" s="72" t="s">
        <v>213</v>
      </c>
      <c r="C147" s="72">
        <v>89</v>
      </c>
      <c r="J147" s="205" t="s">
        <v>226</v>
      </c>
      <c r="K147" s="70">
        <v>54</v>
      </c>
      <c r="L147" s="70">
        <v>89</v>
      </c>
      <c r="M147" s="70">
        <v>53</v>
      </c>
      <c r="N147" s="71">
        <v>66</v>
      </c>
      <c r="O147" s="124" t="str" cm="1">
        <f t="array" ref="O147">IF(AND(K147:N147&gt;=50),"Pass","Fail")</f>
        <v>Pass</v>
      </c>
    </row>
    <row r="148" spans="1:16" ht="15" thickBot="1" x14ac:dyDescent="0.35">
      <c r="A148" s="1"/>
      <c r="J148" s="205" t="s">
        <v>227</v>
      </c>
      <c r="K148" s="70">
        <v>100</v>
      </c>
      <c r="L148" s="70">
        <v>69</v>
      </c>
      <c r="M148" s="70">
        <v>78</v>
      </c>
      <c r="N148" s="71">
        <v>53</v>
      </c>
      <c r="O148" s="124" t="str" cm="1">
        <f t="array" ref="O148">IF(AND(K148:N148&gt;=50),"Pass","Fail")</f>
        <v>Pass</v>
      </c>
    </row>
    <row r="149" spans="1:16" ht="15" thickBot="1" x14ac:dyDescent="0.35">
      <c r="A149" s="61">
        <v>1.1000000000000001</v>
      </c>
      <c r="B149" s="7" t="s">
        <v>214</v>
      </c>
      <c r="G149" s="73">
        <f>MAX($C$142:$C$147)</f>
        <v>320</v>
      </c>
      <c r="J149" s="205" t="s">
        <v>103</v>
      </c>
      <c r="K149" s="70">
        <v>49</v>
      </c>
      <c r="L149" s="70">
        <v>70</v>
      </c>
      <c r="M149" s="70">
        <v>87</v>
      </c>
      <c r="N149" s="71">
        <v>100</v>
      </c>
      <c r="O149" s="124" t="str" cm="1">
        <f t="array" ref="O149">IF(AND(K149:N149&gt;=50),"Pass","Fail")</f>
        <v>Fail</v>
      </c>
    </row>
    <row r="150" spans="1:16" ht="15" thickBot="1" x14ac:dyDescent="0.35">
      <c r="A150" s="61">
        <v>1.2</v>
      </c>
      <c r="B150" s="7" t="s">
        <v>215</v>
      </c>
      <c r="G150" s="73">
        <f>MIN($C$142:$C$147)</f>
        <v>89</v>
      </c>
    </row>
    <row r="151" spans="1:16" ht="15" thickBot="1" x14ac:dyDescent="0.35">
      <c r="A151" s="61">
        <v>1.3</v>
      </c>
      <c r="B151" s="7" t="s">
        <v>228</v>
      </c>
      <c r="G151" s="73">
        <f>AVERAGE(G149,G150)</f>
        <v>204.5</v>
      </c>
    </row>
    <row r="152" spans="1:16" ht="15" thickBot="1" x14ac:dyDescent="0.35"/>
    <row r="153" spans="1:16" ht="18" thickBot="1" x14ac:dyDescent="0.35">
      <c r="A153" s="146" t="s">
        <v>229</v>
      </c>
      <c r="B153" s="147"/>
      <c r="C153" s="147"/>
      <c r="D153" s="147"/>
      <c r="E153" s="147"/>
      <c r="F153" s="147"/>
      <c r="G153" s="148"/>
      <c r="J153" s="146" t="s">
        <v>230</v>
      </c>
      <c r="K153" s="147"/>
      <c r="L153" s="147"/>
      <c r="M153" s="147"/>
      <c r="N153" s="147"/>
      <c r="O153" s="147"/>
      <c r="P153" s="148"/>
    </row>
    <row r="154" spans="1:16" x14ac:dyDescent="0.3">
      <c r="A154" s="7" t="s">
        <v>231</v>
      </c>
      <c r="J154" t="s">
        <v>237</v>
      </c>
    </row>
    <row r="155" spans="1:16" x14ac:dyDescent="0.3">
      <c r="A155" s="38" t="s">
        <v>232</v>
      </c>
      <c r="J155" t="s">
        <v>238</v>
      </c>
    </row>
    <row r="156" spans="1:16" x14ac:dyDescent="0.3">
      <c r="J156" t="s">
        <v>239</v>
      </c>
    </row>
    <row r="157" spans="1:16" x14ac:dyDescent="0.3">
      <c r="A157" s="58"/>
      <c r="B157" s="206" t="s">
        <v>221</v>
      </c>
      <c r="J157" t="s">
        <v>240</v>
      </c>
    </row>
    <row r="158" spans="1:16" x14ac:dyDescent="0.3">
      <c r="A158" s="46" t="s">
        <v>233</v>
      </c>
      <c r="B158" s="46">
        <v>95</v>
      </c>
    </row>
    <row r="159" spans="1:16" x14ac:dyDescent="0.3">
      <c r="A159" s="46" t="s">
        <v>226</v>
      </c>
      <c r="B159" s="46">
        <v>54</v>
      </c>
      <c r="J159" t="s">
        <v>241</v>
      </c>
    </row>
    <row r="160" spans="1:16" x14ac:dyDescent="0.3">
      <c r="A160" s="46" t="s">
        <v>227</v>
      </c>
      <c r="B160" s="46">
        <v>100</v>
      </c>
    </row>
    <row r="161" spans="1:16" ht="15" thickBot="1" x14ac:dyDescent="0.35">
      <c r="A161" s="46" t="s">
        <v>103</v>
      </c>
      <c r="B161" s="46">
        <v>49</v>
      </c>
      <c r="J161" s="137" t="s">
        <v>242</v>
      </c>
      <c r="K161" s="137" t="s">
        <v>98</v>
      </c>
      <c r="L161" s="207" t="s">
        <v>243</v>
      </c>
    </row>
    <row r="162" spans="1:16" ht="15" thickBot="1" x14ac:dyDescent="0.35">
      <c r="A162" s="46" t="s">
        <v>234</v>
      </c>
      <c r="B162" s="46">
        <v>67</v>
      </c>
      <c r="J162" s="58" t="s">
        <v>244</v>
      </c>
      <c r="K162" s="75">
        <v>78</v>
      </c>
      <c r="L162" s="76" t="str">
        <f>IF(K162&gt;80,"Excellent",IF(K162&gt;60,"Good","Failed"))</f>
        <v>Good</v>
      </c>
    </row>
    <row r="163" spans="1:16" ht="15" thickBot="1" x14ac:dyDescent="0.35">
      <c r="A163" s="46" t="s">
        <v>235</v>
      </c>
      <c r="B163" s="46">
        <v>45</v>
      </c>
      <c r="J163" s="58" t="s">
        <v>245</v>
      </c>
      <c r="K163" s="75">
        <v>85</v>
      </c>
      <c r="L163" s="76" t="str">
        <f t="shared" ref="L163:L165" si="5">IF(K163&gt;80,"Excellent",IF(K163&gt;60,"Good","Failed"))</f>
        <v>Excellent</v>
      </c>
    </row>
    <row r="164" spans="1:16" ht="15" thickBot="1" x14ac:dyDescent="0.35">
      <c r="A164" s="46" t="s">
        <v>236</v>
      </c>
      <c r="B164" s="74">
        <v>77</v>
      </c>
      <c r="J164" s="58" t="s">
        <v>246</v>
      </c>
      <c r="K164" s="75">
        <v>44</v>
      </c>
      <c r="L164" s="76" t="str">
        <f t="shared" si="5"/>
        <v>Failed</v>
      </c>
    </row>
    <row r="165" spans="1:16" ht="15" thickBot="1" x14ac:dyDescent="0.35">
      <c r="B165" s="20" t="str">
        <f>IF(MAX(B158:B164)&gt;=99,"Easy","Hard")</f>
        <v>Easy</v>
      </c>
      <c r="D165" s="7"/>
      <c r="J165" s="58" t="s">
        <v>247</v>
      </c>
      <c r="K165" s="75">
        <v>61</v>
      </c>
      <c r="L165" s="76" t="str">
        <f t="shared" si="5"/>
        <v>Good</v>
      </c>
    </row>
    <row r="166" spans="1:16" ht="15" thickBot="1" x14ac:dyDescent="0.35"/>
    <row r="167" spans="1:16" ht="18" thickBot="1" x14ac:dyDescent="0.35">
      <c r="A167" s="146" t="s">
        <v>248</v>
      </c>
      <c r="B167" s="147"/>
      <c r="C167" s="147"/>
      <c r="D167" s="147"/>
      <c r="E167" s="147"/>
      <c r="F167" s="147"/>
      <c r="G167" s="148"/>
      <c r="J167" s="146" t="s">
        <v>442</v>
      </c>
      <c r="K167" s="147"/>
      <c r="L167" s="147"/>
      <c r="M167" s="147"/>
      <c r="N167" s="147"/>
      <c r="O167" s="147"/>
      <c r="P167" s="148"/>
    </row>
    <row r="168" spans="1:16" x14ac:dyDescent="0.3">
      <c r="A168" s="7" t="s">
        <v>249</v>
      </c>
      <c r="J168" s="7" t="s">
        <v>266</v>
      </c>
    </row>
    <row r="169" spans="1:16" x14ac:dyDescent="0.3">
      <c r="A169" s="7" t="s">
        <v>250</v>
      </c>
      <c r="J169" s="7" t="s">
        <v>267</v>
      </c>
    </row>
    <row r="171" spans="1:16" x14ac:dyDescent="0.3">
      <c r="A171" s="45"/>
      <c r="J171" s="209" t="s">
        <v>268</v>
      </c>
      <c r="K171" s="210" t="s">
        <v>269</v>
      </c>
    </row>
    <row r="172" spans="1:16" x14ac:dyDescent="0.3">
      <c r="A172" s="208" t="s">
        <v>23</v>
      </c>
      <c r="B172" s="208" t="s">
        <v>251</v>
      </c>
      <c r="J172" s="89">
        <v>42005</v>
      </c>
      <c r="K172" s="90">
        <v>432.17</v>
      </c>
    </row>
    <row r="173" spans="1:16" x14ac:dyDescent="0.3">
      <c r="A173" s="46" t="s">
        <v>252</v>
      </c>
      <c r="B173" s="84">
        <v>759</v>
      </c>
      <c r="J173" s="89">
        <v>42351</v>
      </c>
      <c r="K173" s="90">
        <v>528.5</v>
      </c>
    </row>
    <row r="174" spans="1:16" x14ac:dyDescent="0.3">
      <c r="A174" s="46" t="s">
        <v>253</v>
      </c>
      <c r="B174" s="84">
        <v>200</v>
      </c>
      <c r="J174" s="89">
        <v>42007</v>
      </c>
      <c r="K174" s="90">
        <v>810.71</v>
      </c>
    </row>
    <row r="175" spans="1:16" x14ac:dyDescent="0.3">
      <c r="A175" s="46" t="s">
        <v>254</v>
      </c>
      <c r="B175" s="84">
        <v>42</v>
      </c>
      <c r="J175" s="89">
        <v>42008</v>
      </c>
      <c r="K175" s="90">
        <v>418.54</v>
      </c>
    </row>
    <row r="176" spans="1:16" x14ac:dyDescent="0.3">
      <c r="A176" s="46" t="s">
        <v>255</v>
      </c>
      <c r="B176" s="84">
        <v>423</v>
      </c>
      <c r="J176" s="89">
        <v>42009</v>
      </c>
      <c r="K176" s="90">
        <v>722.22</v>
      </c>
    </row>
    <row r="177" spans="1:11" x14ac:dyDescent="0.3">
      <c r="A177" s="46" t="s">
        <v>256</v>
      </c>
      <c r="B177" s="84">
        <v>200</v>
      </c>
      <c r="J177" s="89">
        <v>42010</v>
      </c>
      <c r="K177" s="90">
        <v>460.28</v>
      </c>
    </row>
    <row r="178" spans="1:11" x14ac:dyDescent="0.3">
      <c r="A178" s="46" t="s">
        <v>257</v>
      </c>
      <c r="B178" s="84">
        <v>50</v>
      </c>
      <c r="J178" s="89">
        <v>42349</v>
      </c>
      <c r="K178" s="90">
        <v>483.58</v>
      </c>
    </row>
    <row r="179" spans="1:11" x14ac:dyDescent="0.3">
      <c r="A179" s="46" t="s">
        <v>258</v>
      </c>
      <c r="B179" s="84">
        <v>700</v>
      </c>
      <c r="J179" s="89">
        <v>42012</v>
      </c>
      <c r="K179" s="90">
        <v>114.53</v>
      </c>
    </row>
    <row r="180" spans="1:11" x14ac:dyDescent="0.3">
      <c r="A180" s="46" t="s">
        <v>259</v>
      </c>
      <c r="B180" s="84">
        <v>450</v>
      </c>
      <c r="J180" s="89">
        <v>42013</v>
      </c>
      <c r="K180" s="90">
        <v>609.12</v>
      </c>
    </row>
    <row r="181" spans="1:11" x14ac:dyDescent="0.3">
      <c r="A181" s="46" t="s">
        <v>260</v>
      </c>
      <c r="B181" s="84">
        <v>605</v>
      </c>
      <c r="J181" s="89">
        <v>42014</v>
      </c>
      <c r="K181" s="90">
        <v>1197.9000000000001</v>
      </c>
    </row>
    <row r="182" spans="1:11" x14ac:dyDescent="0.3">
      <c r="A182" s="46" t="s">
        <v>261</v>
      </c>
      <c r="B182" s="84">
        <v>240</v>
      </c>
      <c r="J182" s="89">
        <v>42015</v>
      </c>
      <c r="K182" s="90">
        <v>228.89</v>
      </c>
    </row>
    <row r="183" spans="1:11" x14ac:dyDescent="0.3">
      <c r="A183" s="46" t="s">
        <v>262</v>
      </c>
      <c r="B183" s="84">
        <v>685</v>
      </c>
      <c r="J183" s="89">
        <v>42016</v>
      </c>
      <c r="K183" s="90">
        <v>1380.07</v>
      </c>
    </row>
    <row r="184" spans="1:11" ht="15" thickBot="1" x14ac:dyDescent="0.35">
      <c r="A184" s="46" t="s">
        <v>263</v>
      </c>
      <c r="B184" s="86">
        <v>295</v>
      </c>
      <c r="J184" s="89">
        <v>42017</v>
      </c>
      <c r="K184" s="90">
        <v>1026.96</v>
      </c>
    </row>
    <row r="185" spans="1:11" ht="15" thickBot="1" x14ac:dyDescent="0.35">
      <c r="A185" s="85" t="s">
        <v>264</v>
      </c>
      <c r="B185" s="87">
        <f>SUM(B173:B184)</f>
        <v>4649</v>
      </c>
      <c r="C185" s="59" t="s">
        <v>265</v>
      </c>
      <c r="D185" s="59"/>
      <c r="J185" s="89">
        <v>42018</v>
      </c>
      <c r="K185" s="90">
        <v>760.24</v>
      </c>
    </row>
    <row r="186" spans="1:11" ht="15" thickBot="1" x14ac:dyDescent="0.35">
      <c r="J186" s="89">
        <v>42019</v>
      </c>
      <c r="K186" s="90">
        <v>414.11</v>
      </c>
    </row>
    <row r="187" spans="1:11" ht="18" thickBot="1" x14ac:dyDescent="0.35">
      <c r="A187" s="146" t="s">
        <v>443</v>
      </c>
      <c r="B187" s="147"/>
      <c r="C187" s="147"/>
      <c r="D187" s="147"/>
      <c r="E187" s="147"/>
      <c r="F187" s="147"/>
      <c r="G187" s="148"/>
      <c r="J187" s="89">
        <v>42020</v>
      </c>
      <c r="K187" s="90">
        <v>1728.81</v>
      </c>
    </row>
    <row r="188" spans="1:11" x14ac:dyDescent="0.3">
      <c r="A188" s="62">
        <v>1</v>
      </c>
      <c r="B188" s="7" t="s">
        <v>270</v>
      </c>
      <c r="J188" s="89">
        <v>42021</v>
      </c>
      <c r="K188" s="90">
        <v>276.06</v>
      </c>
    </row>
    <row r="189" spans="1:11" x14ac:dyDescent="0.3">
      <c r="A189" s="1"/>
      <c r="J189" s="89">
        <v>42022</v>
      </c>
      <c r="K189" s="90">
        <v>462.22</v>
      </c>
    </row>
    <row r="190" spans="1:11" ht="15" thickBot="1" x14ac:dyDescent="0.35">
      <c r="A190" s="1"/>
      <c r="B190" s="59" t="s">
        <v>271</v>
      </c>
      <c r="C190" s="130" t="s">
        <v>272</v>
      </c>
      <c r="E190" s="45"/>
      <c r="J190" s="89">
        <v>42023</v>
      </c>
      <c r="K190" s="90">
        <v>1281.0999999999999</v>
      </c>
    </row>
    <row r="191" spans="1:11" ht="15" thickBot="1" x14ac:dyDescent="0.35">
      <c r="A191" s="1"/>
      <c r="B191" s="7" t="s">
        <v>273</v>
      </c>
      <c r="C191" s="131">
        <f>SUM($D$212:$D$369)</f>
        <v>99498</v>
      </c>
      <c r="D191" s="7"/>
      <c r="E191" s="7"/>
      <c r="J191" s="89">
        <v>42024</v>
      </c>
      <c r="K191" s="90">
        <v>1113.7</v>
      </c>
    </row>
    <row r="192" spans="1:11" x14ac:dyDescent="0.3">
      <c r="A192" s="1"/>
      <c r="J192" s="89">
        <v>42025</v>
      </c>
      <c r="K192" s="90">
        <v>594.09</v>
      </c>
    </row>
    <row r="193" spans="1:11" ht="15" thickBot="1" x14ac:dyDescent="0.35">
      <c r="A193" s="1"/>
      <c r="B193" s="59" t="s">
        <v>271</v>
      </c>
      <c r="C193" s="130" t="s">
        <v>274</v>
      </c>
      <c r="J193" s="89">
        <v>42026</v>
      </c>
      <c r="K193" s="90">
        <v>432.67</v>
      </c>
    </row>
    <row r="194" spans="1:11" ht="15" thickBot="1" x14ac:dyDescent="0.35">
      <c r="A194" s="1"/>
      <c r="B194" s="7" t="s">
        <v>273</v>
      </c>
      <c r="C194" s="131">
        <f>SUM(E212:E369)</f>
        <v>211409</v>
      </c>
      <c r="D194" s="7"/>
      <c r="J194" s="89">
        <v>42027</v>
      </c>
      <c r="K194" s="90">
        <v>874.45</v>
      </c>
    </row>
    <row r="195" spans="1:11" x14ac:dyDescent="0.3">
      <c r="A195" s="1"/>
      <c r="J195" s="89">
        <v>42028</v>
      </c>
      <c r="K195" s="90">
        <v>880.38</v>
      </c>
    </row>
    <row r="196" spans="1:11" ht="15" thickBot="1" x14ac:dyDescent="0.35">
      <c r="A196" s="1"/>
      <c r="B196" s="59" t="s">
        <v>271</v>
      </c>
      <c r="C196" s="130" t="s">
        <v>275</v>
      </c>
      <c r="J196" s="89">
        <v>42029</v>
      </c>
      <c r="K196" s="90">
        <v>798.53</v>
      </c>
    </row>
    <row r="197" spans="1:11" ht="15" thickBot="1" x14ac:dyDescent="0.35">
      <c r="A197" s="1"/>
      <c r="B197" s="7" t="s">
        <v>273</v>
      </c>
      <c r="C197" s="131">
        <f>SUM($F$212:$F$369)</f>
        <v>127820</v>
      </c>
      <c r="D197" s="7"/>
      <c r="J197" s="89">
        <v>42318</v>
      </c>
      <c r="K197" s="90">
        <v>572.41999999999996</v>
      </c>
    </row>
    <row r="198" spans="1:11" x14ac:dyDescent="0.3">
      <c r="A198" s="1"/>
      <c r="J198" s="89">
        <v>42031</v>
      </c>
      <c r="K198" s="90">
        <v>330.61</v>
      </c>
    </row>
    <row r="199" spans="1:11" ht="15" thickBot="1" x14ac:dyDescent="0.35">
      <c r="A199" s="62">
        <v>2</v>
      </c>
      <c r="B199" s="78" t="s">
        <v>276</v>
      </c>
      <c r="C199" s="79"/>
      <c r="D199" s="79"/>
      <c r="E199" s="79"/>
      <c r="J199" s="89">
        <v>42032</v>
      </c>
      <c r="K199" s="90">
        <v>567.17999999999995</v>
      </c>
    </row>
    <row r="200" spans="1:11" ht="15" thickBot="1" x14ac:dyDescent="0.35">
      <c r="A200" s="1"/>
      <c r="C200" s="20">
        <f>SUM(D214:F214)</f>
        <v>5124</v>
      </c>
      <c r="D200" s="7"/>
      <c r="E200" s="7"/>
      <c r="F200" s="7"/>
      <c r="J200" s="89">
        <v>42033</v>
      </c>
      <c r="K200" s="90">
        <v>1449.21</v>
      </c>
    </row>
    <row r="201" spans="1:11" x14ac:dyDescent="0.3">
      <c r="A201" s="1"/>
      <c r="J201" s="89">
        <v>42034</v>
      </c>
      <c r="K201" s="90">
        <v>459.29</v>
      </c>
    </row>
    <row r="202" spans="1:11" ht="15" thickBot="1" x14ac:dyDescent="0.35">
      <c r="A202" s="62">
        <v>3</v>
      </c>
      <c r="B202" s="78" t="s">
        <v>277</v>
      </c>
      <c r="C202" s="79"/>
      <c r="D202" s="79"/>
      <c r="E202" s="79"/>
      <c r="F202" s="79"/>
      <c r="J202" s="89">
        <v>42035</v>
      </c>
      <c r="K202" s="90">
        <v>357.55</v>
      </c>
    </row>
    <row r="203" spans="1:11" ht="15" thickBot="1" x14ac:dyDescent="0.35">
      <c r="A203" s="1"/>
      <c r="C203" s="132">
        <f>SUM(D212:F231)</f>
        <v>89884</v>
      </c>
      <c r="D203" s="7"/>
      <c r="E203" s="80"/>
      <c r="F203" s="7"/>
      <c r="J203" s="89">
        <v>42036</v>
      </c>
      <c r="K203" s="90">
        <v>154.34</v>
      </c>
    </row>
    <row r="204" spans="1:11" x14ac:dyDescent="0.3">
      <c r="A204" s="1"/>
      <c r="E204" s="80"/>
      <c r="F204" s="7"/>
      <c r="J204" s="89">
        <v>42037</v>
      </c>
      <c r="K204" s="90">
        <v>152.76</v>
      </c>
    </row>
    <row r="205" spans="1:11" ht="15" thickBot="1" x14ac:dyDescent="0.35">
      <c r="A205" s="62">
        <v>4</v>
      </c>
      <c r="B205" s="78" t="s">
        <v>278</v>
      </c>
      <c r="C205" s="79"/>
      <c r="D205" s="79"/>
      <c r="E205" s="79"/>
      <c r="F205" s="79"/>
      <c r="J205" s="89">
        <v>42038</v>
      </c>
      <c r="K205" s="90">
        <v>570.22</v>
      </c>
    </row>
    <row r="206" spans="1:11" ht="15" thickBot="1" x14ac:dyDescent="0.35">
      <c r="B206" s="7" t="s">
        <v>279</v>
      </c>
      <c r="C206" s="131">
        <f>SUM($D$212:$D$369)</f>
        <v>99498</v>
      </c>
      <c r="D206" s="7"/>
      <c r="F206" s="59"/>
      <c r="J206" s="89">
        <v>42039</v>
      </c>
      <c r="K206" s="90">
        <v>987.62</v>
      </c>
    </row>
    <row r="207" spans="1:11" ht="15" thickBot="1" x14ac:dyDescent="0.35">
      <c r="B207" s="7" t="s">
        <v>280</v>
      </c>
      <c r="C207" s="131">
        <f>SUM($F$212:$F$369)</f>
        <v>127820</v>
      </c>
      <c r="D207" s="7"/>
      <c r="F207" s="7"/>
      <c r="J207" s="89">
        <v>42040</v>
      </c>
      <c r="K207" s="90">
        <v>1755.71</v>
      </c>
    </row>
    <row r="208" spans="1:11" x14ac:dyDescent="0.3">
      <c r="B208" s="7"/>
      <c r="F208" s="7"/>
      <c r="J208" s="89">
        <v>42041</v>
      </c>
      <c r="K208" s="90">
        <v>378.27</v>
      </c>
    </row>
    <row r="209" spans="2:11" x14ac:dyDescent="0.3">
      <c r="F209" s="7"/>
      <c r="J209" s="89">
        <v>42042</v>
      </c>
      <c r="K209" s="90">
        <v>1323.81</v>
      </c>
    </row>
    <row r="210" spans="2:11" x14ac:dyDescent="0.3">
      <c r="D210" s="139" t="s">
        <v>271</v>
      </c>
      <c r="E210" s="140"/>
      <c r="F210" s="141"/>
      <c r="J210" s="89">
        <v>42043</v>
      </c>
      <c r="K210" s="90">
        <v>399.02</v>
      </c>
    </row>
    <row r="211" spans="2:11" x14ac:dyDescent="0.3">
      <c r="B211" s="211" t="s">
        <v>281</v>
      </c>
      <c r="C211" s="212" t="s">
        <v>282</v>
      </c>
      <c r="D211" s="213" t="s">
        <v>272</v>
      </c>
      <c r="E211" s="213" t="s">
        <v>274</v>
      </c>
      <c r="F211" s="213" t="s">
        <v>275</v>
      </c>
      <c r="J211" s="89">
        <v>42044</v>
      </c>
      <c r="K211" s="90">
        <v>154.94999999999999</v>
      </c>
    </row>
    <row r="212" spans="2:11" x14ac:dyDescent="0.3">
      <c r="B212" s="81" t="s">
        <v>283</v>
      </c>
      <c r="C212" s="81" t="s">
        <v>284</v>
      </c>
      <c r="D212" s="82">
        <v>3419</v>
      </c>
      <c r="E212" s="82">
        <v>4378</v>
      </c>
      <c r="F212" s="83">
        <v>2755</v>
      </c>
      <c r="J212" s="89">
        <v>42045</v>
      </c>
      <c r="K212" s="90">
        <v>1254.57</v>
      </c>
    </row>
    <row r="213" spans="2:11" x14ac:dyDescent="0.3">
      <c r="B213" s="81" t="s">
        <v>283</v>
      </c>
      <c r="C213" s="81" t="s">
        <v>285</v>
      </c>
      <c r="D213" s="82">
        <v>1492</v>
      </c>
      <c r="E213" s="82">
        <v>2126</v>
      </c>
      <c r="F213" s="83">
        <v>2103</v>
      </c>
      <c r="J213" s="89">
        <v>42046</v>
      </c>
      <c r="K213" s="90">
        <v>627.32000000000005</v>
      </c>
    </row>
    <row r="214" spans="2:11" x14ac:dyDescent="0.3">
      <c r="B214" s="81" t="s">
        <v>283</v>
      </c>
      <c r="C214" s="81" t="s">
        <v>286</v>
      </c>
      <c r="D214" s="82">
        <v>1371</v>
      </c>
      <c r="E214" s="82">
        <v>1930</v>
      </c>
      <c r="F214" s="83">
        <v>1823</v>
      </c>
      <c r="J214" s="89">
        <v>42230</v>
      </c>
      <c r="K214" s="90">
        <v>880.6</v>
      </c>
    </row>
    <row r="215" spans="2:11" x14ac:dyDescent="0.3">
      <c r="B215" s="81" t="s">
        <v>283</v>
      </c>
      <c r="C215" s="81" t="s">
        <v>287</v>
      </c>
      <c r="D215" s="82">
        <v>1607</v>
      </c>
      <c r="E215" s="82">
        <v>2133</v>
      </c>
      <c r="F215" s="83">
        <v>2102</v>
      </c>
      <c r="J215" s="89">
        <v>42048</v>
      </c>
      <c r="K215" s="90">
        <v>1196.03</v>
      </c>
    </row>
    <row r="216" spans="2:11" x14ac:dyDescent="0.3">
      <c r="B216" s="81" t="s">
        <v>283</v>
      </c>
      <c r="C216" s="81" t="s">
        <v>288</v>
      </c>
      <c r="D216" s="82">
        <v>951</v>
      </c>
      <c r="E216" s="82">
        <v>1445</v>
      </c>
      <c r="F216" s="83">
        <v>1416</v>
      </c>
      <c r="J216" s="89">
        <v>42049</v>
      </c>
      <c r="K216" s="90">
        <v>782.32</v>
      </c>
    </row>
    <row r="217" spans="2:11" x14ac:dyDescent="0.3">
      <c r="B217" s="81" t="s">
        <v>283</v>
      </c>
      <c r="C217" s="81" t="s">
        <v>289</v>
      </c>
      <c r="D217" s="82">
        <v>889</v>
      </c>
      <c r="E217" s="82">
        <v>1293</v>
      </c>
      <c r="F217" s="83">
        <v>1526</v>
      </c>
      <c r="J217" s="89">
        <v>42050</v>
      </c>
      <c r="K217" s="90">
        <v>1323.35</v>
      </c>
    </row>
    <row r="218" spans="2:11" x14ac:dyDescent="0.3">
      <c r="B218" s="81" t="s">
        <v>283</v>
      </c>
      <c r="C218" s="81" t="s">
        <v>290</v>
      </c>
      <c r="D218" s="82">
        <v>1254</v>
      </c>
      <c r="E218" s="82">
        <v>1989</v>
      </c>
      <c r="F218" s="83">
        <v>1685</v>
      </c>
      <c r="J218" s="89">
        <v>42051</v>
      </c>
      <c r="K218" s="90">
        <v>209.92</v>
      </c>
    </row>
    <row r="219" spans="2:11" x14ac:dyDescent="0.3">
      <c r="B219" s="81" t="s">
        <v>283</v>
      </c>
      <c r="C219" s="81" t="s">
        <v>291</v>
      </c>
      <c r="D219" s="82">
        <v>1025</v>
      </c>
      <c r="E219" s="82">
        <v>1362</v>
      </c>
      <c r="F219" s="83">
        <v>2077</v>
      </c>
      <c r="J219" s="89">
        <v>42052</v>
      </c>
      <c r="K219" s="90">
        <v>1232.05</v>
      </c>
    </row>
    <row r="220" spans="2:11" x14ac:dyDescent="0.3">
      <c r="B220" s="81" t="s">
        <v>283</v>
      </c>
      <c r="C220" s="81" t="s">
        <v>292</v>
      </c>
      <c r="D220" s="82">
        <v>1194</v>
      </c>
      <c r="E220" s="82">
        <v>2016</v>
      </c>
      <c r="F220" s="83">
        <v>1452</v>
      </c>
      <c r="J220" s="89">
        <v>42053</v>
      </c>
      <c r="K220" s="90">
        <v>713.28</v>
      </c>
    </row>
    <row r="221" spans="2:11" x14ac:dyDescent="0.3">
      <c r="B221" s="81" t="s">
        <v>283</v>
      </c>
      <c r="C221" s="81" t="s">
        <v>293</v>
      </c>
      <c r="D221" s="82">
        <v>607</v>
      </c>
      <c r="E221" s="82">
        <v>853</v>
      </c>
      <c r="F221" s="83">
        <v>1022</v>
      </c>
      <c r="J221" s="89">
        <v>42054</v>
      </c>
      <c r="K221" s="90">
        <v>1674.82</v>
      </c>
    </row>
    <row r="222" spans="2:11" x14ac:dyDescent="0.3">
      <c r="B222" s="81" t="s">
        <v>283</v>
      </c>
      <c r="C222" s="81" t="s">
        <v>294</v>
      </c>
      <c r="D222" s="82">
        <v>626</v>
      </c>
      <c r="E222" s="82">
        <v>1569</v>
      </c>
      <c r="F222" s="83">
        <v>1033</v>
      </c>
      <c r="J222" s="89">
        <v>42055</v>
      </c>
      <c r="K222" s="90">
        <v>1161.25</v>
      </c>
    </row>
    <row r="223" spans="2:11" x14ac:dyDescent="0.3">
      <c r="B223" s="81" t="s">
        <v>283</v>
      </c>
      <c r="C223" s="81" t="s">
        <v>295</v>
      </c>
      <c r="D223" s="82">
        <v>1037</v>
      </c>
      <c r="E223" s="82">
        <v>2300</v>
      </c>
      <c r="F223" s="83">
        <v>1598</v>
      </c>
      <c r="J223" s="89">
        <v>42056</v>
      </c>
      <c r="K223" s="90">
        <v>897.63</v>
      </c>
    </row>
    <row r="224" spans="2:11" x14ac:dyDescent="0.3">
      <c r="B224" s="81" t="s">
        <v>283</v>
      </c>
      <c r="C224" s="81" t="s">
        <v>296</v>
      </c>
      <c r="D224" s="82">
        <v>972</v>
      </c>
      <c r="E224" s="82">
        <v>2128</v>
      </c>
      <c r="F224" s="83">
        <v>912</v>
      </c>
      <c r="J224" s="89">
        <v>42057</v>
      </c>
      <c r="K224" s="90">
        <v>1647.26</v>
      </c>
    </row>
    <row r="225" spans="2:11" x14ac:dyDescent="0.3">
      <c r="B225" s="81" t="s">
        <v>283</v>
      </c>
      <c r="C225" s="81" t="s">
        <v>297</v>
      </c>
      <c r="D225" s="82">
        <v>88</v>
      </c>
      <c r="E225" s="82">
        <v>1159</v>
      </c>
      <c r="F225" s="83">
        <v>0</v>
      </c>
      <c r="J225" s="89">
        <v>42058</v>
      </c>
      <c r="K225" s="90">
        <v>1121.96</v>
      </c>
    </row>
    <row r="226" spans="2:11" x14ac:dyDescent="0.3">
      <c r="B226" s="81" t="s">
        <v>283</v>
      </c>
      <c r="C226" s="81" t="s">
        <v>298</v>
      </c>
      <c r="D226" s="82">
        <v>2052</v>
      </c>
      <c r="E226" s="82">
        <v>2159</v>
      </c>
      <c r="F226" s="83">
        <v>1582</v>
      </c>
      <c r="J226" s="89">
        <v>42059</v>
      </c>
      <c r="K226" s="90">
        <v>352.2</v>
      </c>
    </row>
    <row r="227" spans="2:11" x14ac:dyDescent="0.3">
      <c r="B227" s="81" t="s">
        <v>283</v>
      </c>
      <c r="C227" s="81" t="s">
        <v>299</v>
      </c>
      <c r="D227" s="82">
        <v>1582</v>
      </c>
      <c r="E227" s="82">
        <v>2308</v>
      </c>
      <c r="F227" s="83">
        <v>1699</v>
      </c>
      <c r="J227" s="89">
        <v>42060</v>
      </c>
      <c r="K227" s="90">
        <v>270.77999999999997</v>
      </c>
    </row>
    <row r="228" spans="2:11" x14ac:dyDescent="0.3">
      <c r="B228" s="81" t="s">
        <v>283</v>
      </c>
      <c r="C228" s="81" t="s">
        <v>300</v>
      </c>
      <c r="D228" s="82">
        <v>1088</v>
      </c>
      <c r="E228" s="82">
        <v>1218</v>
      </c>
      <c r="F228" s="83">
        <v>981</v>
      </c>
      <c r="J228" s="89">
        <v>42061</v>
      </c>
      <c r="K228" s="90">
        <v>456.41</v>
      </c>
    </row>
    <row r="229" spans="2:11" x14ac:dyDescent="0.3">
      <c r="B229" s="81" t="s">
        <v>283</v>
      </c>
      <c r="C229" s="81" t="s">
        <v>301</v>
      </c>
      <c r="D229" s="82">
        <v>706</v>
      </c>
      <c r="E229" s="82">
        <v>1151</v>
      </c>
      <c r="F229" s="83">
        <v>1145</v>
      </c>
      <c r="J229" s="89">
        <v>42062</v>
      </c>
      <c r="K229" s="90">
        <v>441</v>
      </c>
    </row>
    <row r="230" spans="2:11" x14ac:dyDescent="0.3">
      <c r="B230" s="81" t="s">
        <v>283</v>
      </c>
      <c r="C230" s="81" t="s">
        <v>302</v>
      </c>
      <c r="D230" s="82">
        <v>1335</v>
      </c>
      <c r="E230" s="82">
        <v>2098</v>
      </c>
      <c r="F230" s="83">
        <v>1322</v>
      </c>
      <c r="J230" s="89">
        <v>42063</v>
      </c>
      <c r="K230" s="90">
        <v>252.44</v>
      </c>
    </row>
    <row r="231" spans="2:11" x14ac:dyDescent="0.3">
      <c r="B231" s="81" t="s">
        <v>283</v>
      </c>
      <c r="C231" s="81" t="s">
        <v>303</v>
      </c>
      <c r="D231" s="82">
        <v>702</v>
      </c>
      <c r="E231" s="82">
        <v>1162</v>
      </c>
      <c r="F231" s="83">
        <v>877</v>
      </c>
      <c r="J231" s="89">
        <v>42064</v>
      </c>
      <c r="K231" s="90">
        <v>1298.92</v>
      </c>
    </row>
    <row r="232" spans="2:11" x14ac:dyDescent="0.3">
      <c r="B232" s="81" t="s">
        <v>283</v>
      </c>
      <c r="C232" s="81" t="s">
        <v>304</v>
      </c>
      <c r="D232" s="82">
        <v>968</v>
      </c>
      <c r="E232" s="82">
        <v>1101</v>
      </c>
      <c r="F232" s="83">
        <v>797</v>
      </c>
      <c r="J232" s="89">
        <v>42065</v>
      </c>
      <c r="K232" s="90">
        <v>1178.07</v>
      </c>
    </row>
    <row r="233" spans="2:11" x14ac:dyDescent="0.3">
      <c r="B233" s="81" t="s">
        <v>283</v>
      </c>
      <c r="C233" s="81" t="s">
        <v>305</v>
      </c>
      <c r="D233" s="82">
        <v>1664</v>
      </c>
      <c r="E233" s="82">
        <v>2069</v>
      </c>
      <c r="F233" s="83">
        <v>1710</v>
      </c>
      <c r="J233" s="89">
        <v>42066</v>
      </c>
      <c r="K233" s="90">
        <v>459.95</v>
      </c>
    </row>
    <row r="234" spans="2:11" x14ac:dyDescent="0.3">
      <c r="B234" s="81" t="s">
        <v>283</v>
      </c>
      <c r="C234" s="81" t="s">
        <v>306</v>
      </c>
      <c r="D234" s="82">
        <v>624</v>
      </c>
      <c r="E234" s="82">
        <v>770</v>
      </c>
      <c r="F234" s="83">
        <v>746</v>
      </c>
      <c r="J234" s="89">
        <v>42067</v>
      </c>
      <c r="K234" s="90">
        <v>1219.7</v>
      </c>
    </row>
    <row r="235" spans="2:11" x14ac:dyDescent="0.3">
      <c r="B235" s="81" t="s">
        <v>283</v>
      </c>
      <c r="C235" s="81" t="s">
        <v>307</v>
      </c>
      <c r="D235" s="82">
        <v>685</v>
      </c>
      <c r="E235" s="82">
        <v>1501</v>
      </c>
      <c r="F235" s="83">
        <v>1126</v>
      </c>
      <c r="J235" s="89">
        <v>42068</v>
      </c>
      <c r="K235" s="90">
        <v>152.24</v>
      </c>
    </row>
    <row r="236" spans="2:11" x14ac:dyDescent="0.3">
      <c r="B236" s="81" t="s">
        <v>283</v>
      </c>
      <c r="C236" s="81" t="s">
        <v>308</v>
      </c>
      <c r="D236" s="82">
        <v>1248</v>
      </c>
      <c r="E236" s="82">
        <v>1763</v>
      </c>
      <c r="F236" s="83">
        <v>1146</v>
      </c>
      <c r="J236" s="89">
        <v>42069</v>
      </c>
      <c r="K236" s="90">
        <v>770.8</v>
      </c>
    </row>
    <row r="237" spans="2:11" x14ac:dyDescent="0.3">
      <c r="B237" s="81" t="s">
        <v>283</v>
      </c>
      <c r="C237" s="81" t="s">
        <v>309</v>
      </c>
      <c r="D237" s="82">
        <v>1342</v>
      </c>
      <c r="E237" s="82">
        <v>1559</v>
      </c>
      <c r="F237" s="83">
        <v>1307</v>
      </c>
      <c r="J237" s="89">
        <v>42070</v>
      </c>
      <c r="K237" s="90">
        <v>1357.25</v>
      </c>
    </row>
    <row r="238" spans="2:11" x14ac:dyDescent="0.3">
      <c r="B238" s="81" t="s">
        <v>283</v>
      </c>
      <c r="C238" s="81" t="s">
        <v>310</v>
      </c>
      <c r="D238" s="82">
        <v>760</v>
      </c>
      <c r="E238" s="82">
        <v>965</v>
      </c>
      <c r="F238" s="83">
        <v>921</v>
      </c>
      <c r="J238" s="89">
        <v>42187</v>
      </c>
      <c r="K238" s="90">
        <v>220.18</v>
      </c>
    </row>
    <row r="239" spans="2:11" x14ac:dyDescent="0.3">
      <c r="B239" s="81" t="s">
        <v>283</v>
      </c>
      <c r="C239" s="81" t="s">
        <v>311</v>
      </c>
      <c r="D239" s="82">
        <v>1187</v>
      </c>
      <c r="E239" s="82">
        <v>1568</v>
      </c>
      <c r="F239" s="83">
        <v>1190</v>
      </c>
      <c r="J239" s="89">
        <v>42072</v>
      </c>
      <c r="K239" s="90">
        <v>1102.81</v>
      </c>
    </row>
    <row r="240" spans="2:11" x14ac:dyDescent="0.3">
      <c r="B240" s="81" t="s">
        <v>283</v>
      </c>
      <c r="C240" s="81" t="s">
        <v>312</v>
      </c>
      <c r="D240" s="82">
        <v>0</v>
      </c>
      <c r="E240" s="82">
        <v>0</v>
      </c>
      <c r="F240" s="83">
        <v>277</v>
      </c>
      <c r="J240" s="89">
        <v>42073</v>
      </c>
      <c r="K240" s="90">
        <v>1566.83</v>
      </c>
    </row>
    <row r="241" spans="2:11" x14ac:dyDescent="0.3">
      <c r="B241" s="81" t="s">
        <v>283</v>
      </c>
      <c r="C241" s="81" t="s">
        <v>313</v>
      </c>
      <c r="D241" s="82">
        <v>368</v>
      </c>
      <c r="E241" s="82">
        <v>1386</v>
      </c>
      <c r="F241" s="83">
        <v>637</v>
      </c>
      <c r="J241" s="89">
        <v>42074</v>
      </c>
      <c r="K241" s="90">
        <v>437.92</v>
      </c>
    </row>
    <row r="242" spans="2:11" x14ac:dyDescent="0.3">
      <c r="B242" s="81" t="s">
        <v>283</v>
      </c>
      <c r="C242" s="81" t="s">
        <v>314</v>
      </c>
      <c r="D242" s="82">
        <v>317</v>
      </c>
      <c r="E242" s="82">
        <v>1215</v>
      </c>
      <c r="F242" s="83">
        <v>478</v>
      </c>
      <c r="J242" s="89">
        <v>42075</v>
      </c>
      <c r="K242" s="90">
        <v>1216.1199999999999</v>
      </c>
    </row>
    <row r="243" spans="2:11" x14ac:dyDescent="0.3">
      <c r="B243" s="81" t="s">
        <v>283</v>
      </c>
      <c r="C243" s="81" t="s">
        <v>315</v>
      </c>
      <c r="D243" s="82">
        <v>689</v>
      </c>
      <c r="E243" s="82">
        <v>2544</v>
      </c>
      <c r="F243" s="83">
        <v>1009</v>
      </c>
      <c r="J243" s="89">
        <v>42076</v>
      </c>
      <c r="K243" s="90">
        <v>273.10000000000002</v>
      </c>
    </row>
    <row r="244" spans="2:11" x14ac:dyDescent="0.3">
      <c r="B244" s="81" t="s">
        <v>283</v>
      </c>
      <c r="C244" s="81" t="s">
        <v>316</v>
      </c>
      <c r="D244" s="82">
        <v>510</v>
      </c>
      <c r="E244" s="82">
        <v>2583</v>
      </c>
      <c r="F244" s="83">
        <v>861</v>
      </c>
      <c r="J244" s="89">
        <v>42077</v>
      </c>
      <c r="K244" s="90">
        <v>242.26</v>
      </c>
    </row>
    <row r="245" spans="2:11" x14ac:dyDescent="0.3">
      <c r="B245" s="81" t="s">
        <v>283</v>
      </c>
      <c r="C245" s="81" t="s">
        <v>317</v>
      </c>
      <c r="D245" s="82">
        <v>257</v>
      </c>
      <c r="E245" s="82">
        <v>1023</v>
      </c>
      <c r="F245" s="83">
        <v>446</v>
      </c>
      <c r="J245" s="89">
        <v>42078</v>
      </c>
      <c r="K245" s="90">
        <v>1512.6</v>
      </c>
    </row>
    <row r="246" spans="2:11" x14ac:dyDescent="0.3">
      <c r="B246" s="81" t="s">
        <v>283</v>
      </c>
      <c r="C246" s="81" t="s">
        <v>318</v>
      </c>
      <c r="D246" s="82">
        <v>335</v>
      </c>
      <c r="E246" s="82">
        <v>1225</v>
      </c>
      <c r="F246" s="83">
        <v>520</v>
      </c>
      <c r="J246" s="89">
        <v>42079</v>
      </c>
      <c r="K246" s="90">
        <v>783.75</v>
      </c>
    </row>
    <row r="247" spans="2:11" x14ac:dyDescent="0.3">
      <c r="B247" s="81" t="s">
        <v>283</v>
      </c>
      <c r="C247" s="81" t="s">
        <v>319</v>
      </c>
      <c r="D247" s="82">
        <v>264</v>
      </c>
      <c r="E247" s="82">
        <v>957</v>
      </c>
      <c r="F247" s="83">
        <v>405</v>
      </c>
      <c r="J247" s="89">
        <v>42189</v>
      </c>
      <c r="K247" s="90">
        <v>667.99</v>
      </c>
    </row>
    <row r="248" spans="2:11" x14ac:dyDescent="0.3">
      <c r="B248" s="81" t="s">
        <v>283</v>
      </c>
      <c r="C248" s="81" t="s">
        <v>320</v>
      </c>
      <c r="D248" s="82">
        <v>285</v>
      </c>
      <c r="E248" s="82">
        <v>869</v>
      </c>
      <c r="F248" s="83">
        <v>434</v>
      </c>
      <c r="J248" s="89">
        <v>42081</v>
      </c>
      <c r="K248" s="90">
        <v>1166.31</v>
      </c>
    </row>
    <row r="249" spans="2:11" x14ac:dyDescent="0.3">
      <c r="B249" s="81" t="s">
        <v>283</v>
      </c>
      <c r="C249" s="81" t="s">
        <v>321</v>
      </c>
      <c r="D249" s="82">
        <v>550</v>
      </c>
      <c r="E249" s="82">
        <v>2502</v>
      </c>
      <c r="F249" s="83">
        <v>822</v>
      </c>
      <c r="J249" s="89">
        <v>42082</v>
      </c>
      <c r="K249" s="90">
        <v>770.18</v>
      </c>
    </row>
    <row r="250" spans="2:11" x14ac:dyDescent="0.3">
      <c r="B250" s="81" t="s">
        <v>283</v>
      </c>
      <c r="C250" s="81" t="s">
        <v>322</v>
      </c>
      <c r="D250" s="82">
        <v>266</v>
      </c>
      <c r="E250" s="82">
        <v>1382</v>
      </c>
      <c r="F250" s="83">
        <v>501</v>
      </c>
      <c r="J250" s="89">
        <v>42083</v>
      </c>
      <c r="K250" s="90">
        <v>132.34</v>
      </c>
    </row>
    <row r="251" spans="2:11" x14ac:dyDescent="0.3">
      <c r="B251" s="81" t="s">
        <v>283</v>
      </c>
      <c r="C251" s="81" t="s">
        <v>323</v>
      </c>
      <c r="D251" s="82">
        <v>598</v>
      </c>
      <c r="E251" s="82">
        <v>2107</v>
      </c>
      <c r="F251" s="83">
        <v>1002</v>
      </c>
      <c r="J251" s="89">
        <v>42084</v>
      </c>
      <c r="K251" s="90">
        <v>1188.81</v>
      </c>
    </row>
    <row r="252" spans="2:11" x14ac:dyDescent="0.3">
      <c r="B252" s="81" t="s">
        <v>283</v>
      </c>
      <c r="C252" s="81" t="s">
        <v>324</v>
      </c>
      <c r="D252" s="82">
        <v>344</v>
      </c>
      <c r="E252" s="82">
        <v>1641</v>
      </c>
      <c r="F252" s="83">
        <v>765</v>
      </c>
      <c r="J252" s="89">
        <v>42085</v>
      </c>
      <c r="K252" s="90">
        <v>198.06</v>
      </c>
    </row>
    <row r="253" spans="2:11" x14ac:dyDescent="0.3">
      <c r="B253" s="81" t="s">
        <v>283</v>
      </c>
      <c r="C253" s="81" t="s">
        <v>325</v>
      </c>
      <c r="D253" s="82">
        <v>183</v>
      </c>
      <c r="E253" s="82">
        <v>867</v>
      </c>
      <c r="F253" s="83">
        <v>384</v>
      </c>
      <c r="J253" s="89">
        <v>42086</v>
      </c>
      <c r="K253" s="90">
        <v>594.16999999999996</v>
      </c>
    </row>
    <row r="254" spans="2:11" x14ac:dyDescent="0.3">
      <c r="B254" s="81" t="s">
        <v>283</v>
      </c>
      <c r="C254" s="81" t="s">
        <v>326</v>
      </c>
      <c r="D254" s="82">
        <v>302</v>
      </c>
      <c r="E254" s="82">
        <v>1326</v>
      </c>
      <c r="F254" s="83">
        <v>586</v>
      </c>
      <c r="J254" s="89">
        <v>42087</v>
      </c>
      <c r="K254" s="90">
        <v>931.09</v>
      </c>
    </row>
    <row r="255" spans="2:11" x14ac:dyDescent="0.3">
      <c r="B255" s="81" t="s">
        <v>283</v>
      </c>
      <c r="C255" s="81" t="s">
        <v>327</v>
      </c>
      <c r="D255" s="82">
        <v>177</v>
      </c>
      <c r="E255" s="82">
        <v>823</v>
      </c>
      <c r="F255" s="83">
        <v>548</v>
      </c>
      <c r="J255" s="89">
        <v>42088</v>
      </c>
      <c r="K255" s="90">
        <v>299.64</v>
      </c>
    </row>
    <row r="256" spans="2:11" x14ac:dyDescent="0.3">
      <c r="B256" s="81" t="s">
        <v>283</v>
      </c>
      <c r="C256" s="81" t="s">
        <v>328</v>
      </c>
      <c r="D256" s="82">
        <v>285</v>
      </c>
      <c r="E256" s="82">
        <v>1249</v>
      </c>
      <c r="F256" s="83">
        <v>533</v>
      </c>
      <c r="J256" s="89">
        <v>42223</v>
      </c>
      <c r="K256" s="90">
        <v>1701.68</v>
      </c>
    </row>
    <row r="257" spans="2:16" x14ac:dyDescent="0.3">
      <c r="B257" s="81" t="s">
        <v>283</v>
      </c>
      <c r="C257" s="81" t="s">
        <v>329</v>
      </c>
      <c r="D257" s="82">
        <v>236</v>
      </c>
      <c r="E257" s="82">
        <v>1162</v>
      </c>
      <c r="F257" s="83">
        <v>402</v>
      </c>
      <c r="J257" s="89">
        <v>42090</v>
      </c>
      <c r="K257" s="90">
        <v>399.15</v>
      </c>
    </row>
    <row r="258" spans="2:16" x14ac:dyDescent="0.3">
      <c r="B258" s="81" t="s">
        <v>283</v>
      </c>
      <c r="C258" s="81" t="s">
        <v>330</v>
      </c>
      <c r="D258" s="82">
        <v>293</v>
      </c>
      <c r="E258" s="82">
        <v>1016</v>
      </c>
      <c r="F258" s="83">
        <v>585</v>
      </c>
      <c r="J258" s="89">
        <v>42091</v>
      </c>
      <c r="K258" s="90">
        <v>374.81</v>
      </c>
    </row>
    <row r="259" spans="2:16" x14ac:dyDescent="0.3">
      <c r="B259" s="81" t="s">
        <v>283</v>
      </c>
      <c r="C259" s="81" t="s">
        <v>331</v>
      </c>
      <c r="D259" s="82">
        <v>242</v>
      </c>
      <c r="E259" s="82">
        <v>1363</v>
      </c>
      <c r="F259" s="83">
        <v>428</v>
      </c>
      <c r="J259" s="89">
        <v>42092</v>
      </c>
      <c r="K259" s="90">
        <v>462.17</v>
      </c>
    </row>
    <row r="260" spans="2:16" x14ac:dyDescent="0.3">
      <c r="B260" s="81" t="s">
        <v>283</v>
      </c>
      <c r="C260" s="81" t="s">
        <v>332</v>
      </c>
      <c r="D260" s="82">
        <v>248</v>
      </c>
      <c r="E260" s="82">
        <v>1398</v>
      </c>
      <c r="F260" s="83">
        <v>476</v>
      </c>
      <c r="J260" s="89">
        <v>42093</v>
      </c>
      <c r="K260" s="90">
        <v>924.29</v>
      </c>
    </row>
    <row r="261" spans="2:16" ht="15" thickBot="1" x14ac:dyDescent="0.35">
      <c r="B261" s="81" t="s">
        <v>283</v>
      </c>
      <c r="C261" s="81" t="s">
        <v>333</v>
      </c>
      <c r="D261" s="82">
        <v>292</v>
      </c>
      <c r="E261" s="82">
        <v>1380</v>
      </c>
      <c r="F261" s="83">
        <v>456</v>
      </c>
      <c r="J261" s="89">
        <v>42094</v>
      </c>
      <c r="K261" s="133">
        <v>5000.6000000000004</v>
      </c>
    </row>
    <row r="262" spans="2:16" ht="15" thickBot="1" x14ac:dyDescent="0.35">
      <c r="B262" s="81" t="s">
        <v>283</v>
      </c>
      <c r="C262" s="81" t="s">
        <v>334</v>
      </c>
      <c r="D262" s="82">
        <v>196</v>
      </c>
      <c r="E262" s="82">
        <v>1238</v>
      </c>
      <c r="F262" s="83">
        <v>493</v>
      </c>
      <c r="J262" s="77"/>
      <c r="K262" s="134">
        <f>SUM(K172:K261)</f>
        <v>72741.76999999996</v>
      </c>
      <c r="L262" s="59" t="s">
        <v>265</v>
      </c>
    </row>
    <row r="263" spans="2:16" ht="15" thickBot="1" x14ac:dyDescent="0.35">
      <c r="B263" s="81" t="s">
        <v>283</v>
      </c>
      <c r="C263" s="81" t="s">
        <v>335</v>
      </c>
      <c r="D263" s="82">
        <v>432</v>
      </c>
      <c r="E263" s="82">
        <v>1216</v>
      </c>
      <c r="F263" s="83">
        <v>552</v>
      </c>
    </row>
    <row r="264" spans="2:16" ht="18" thickBot="1" x14ac:dyDescent="0.35">
      <c r="B264" s="81" t="s">
        <v>283</v>
      </c>
      <c r="C264" s="81" t="s">
        <v>336</v>
      </c>
      <c r="D264" s="82">
        <v>420</v>
      </c>
      <c r="E264" s="82">
        <v>1581</v>
      </c>
      <c r="F264" s="83">
        <v>525</v>
      </c>
      <c r="J264" s="146" t="s">
        <v>444</v>
      </c>
      <c r="K264" s="147"/>
      <c r="L264" s="147"/>
      <c r="M264" s="147"/>
      <c r="N264" s="147"/>
      <c r="O264" s="147"/>
      <c r="P264" s="148"/>
    </row>
    <row r="265" spans="2:16" x14ac:dyDescent="0.3">
      <c r="B265" s="81" t="s">
        <v>283</v>
      </c>
      <c r="C265" s="81" t="s">
        <v>337</v>
      </c>
      <c r="D265" s="82">
        <v>398</v>
      </c>
      <c r="E265" s="82">
        <v>1759</v>
      </c>
      <c r="F265" s="83">
        <v>682</v>
      </c>
      <c r="K265" s="137" t="s">
        <v>445</v>
      </c>
      <c r="L265" s="137" t="s">
        <v>446</v>
      </c>
      <c r="M265" s="137" t="s">
        <v>447</v>
      </c>
      <c r="N265" s="137" t="s">
        <v>448</v>
      </c>
    </row>
    <row r="266" spans="2:16" x14ac:dyDescent="0.3">
      <c r="B266" s="81" t="s">
        <v>283</v>
      </c>
      <c r="C266" s="81" t="s">
        <v>338</v>
      </c>
      <c r="D266" s="82">
        <v>128</v>
      </c>
      <c r="E266" s="82">
        <v>791</v>
      </c>
      <c r="F266" s="83">
        <v>242</v>
      </c>
      <c r="K266" s="58">
        <v>1</v>
      </c>
      <c r="L266" s="98">
        <v>8000</v>
      </c>
      <c r="M266" s="58" t="s">
        <v>449</v>
      </c>
      <c r="N266" s="58">
        <v>10</v>
      </c>
    </row>
    <row r="267" spans="2:16" x14ac:dyDescent="0.3">
      <c r="B267" s="81" t="s">
        <v>283</v>
      </c>
      <c r="C267" s="81" t="s">
        <v>339</v>
      </c>
      <c r="D267" s="82">
        <v>225</v>
      </c>
      <c r="E267" s="82">
        <v>935</v>
      </c>
      <c r="F267" s="83">
        <v>432</v>
      </c>
      <c r="K267" s="58">
        <v>2</v>
      </c>
      <c r="L267" s="98">
        <v>11000</v>
      </c>
      <c r="M267" s="58" t="s">
        <v>449</v>
      </c>
      <c r="N267" s="58">
        <v>9</v>
      </c>
    </row>
    <row r="268" spans="2:16" x14ac:dyDescent="0.3">
      <c r="B268" s="81" t="s">
        <v>283</v>
      </c>
      <c r="C268" s="81" t="s">
        <v>340</v>
      </c>
      <c r="D268" s="82">
        <v>1358</v>
      </c>
      <c r="E268" s="82">
        <v>2231</v>
      </c>
      <c r="F268" s="83">
        <v>1391</v>
      </c>
      <c r="K268" s="58">
        <v>3</v>
      </c>
      <c r="L268" s="98">
        <v>6000</v>
      </c>
      <c r="M268" s="58" t="s">
        <v>450</v>
      </c>
      <c r="N268" s="58">
        <v>5</v>
      </c>
    </row>
    <row r="269" spans="2:16" x14ac:dyDescent="0.3">
      <c r="B269" s="81" t="s">
        <v>283</v>
      </c>
      <c r="C269" s="81" t="s">
        <v>341</v>
      </c>
      <c r="D269" s="82">
        <v>1345</v>
      </c>
      <c r="E269" s="82">
        <v>1791</v>
      </c>
      <c r="F269" s="83">
        <v>1460</v>
      </c>
      <c r="K269" s="58">
        <v>4</v>
      </c>
      <c r="L269" s="98">
        <v>15000</v>
      </c>
      <c r="M269" s="58" t="s">
        <v>449</v>
      </c>
      <c r="N269" s="58">
        <v>10</v>
      </c>
    </row>
    <row r="270" spans="2:16" x14ac:dyDescent="0.3">
      <c r="B270" s="81" t="s">
        <v>283</v>
      </c>
      <c r="C270" s="81" t="s">
        <v>342</v>
      </c>
      <c r="D270" s="82">
        <v>769</v>
      </c>
      <c r="E270" s="82">
        <v>1948</v>
      </c>
      <c r="F270" s="83">
        <v>1011</v>
      </c>
      <c r="K270" s="58">
        <v>5</v>
      </c>
      <c r="L270" s="98">
        <v>10000</v>
      </c>
      <c r="M270" s="58" t="s">
        <v>450</v>
      </c>
      <c r="N270" s="58">
        <v>2</v>
      </c>
    </row>
    <row r="271" spans="2:16" x14ac:dyDescent="0.3">
      <c r="B271" s="81" t="s">
        <v>283</v>
      </c>
      <c r="C271" s="81" t="s">
        <v>343</v>
      </c>
      <c r="D271" s="82">
        <v>560</v>
      </c>
      <c r="E271" s="82">
        <v>1835</v>
      </c>
      <c r="F271" s="83">
        <v>642</v>
      </c>
      <c r="K271" s="58">
        <v>6</v>
      </c>
      <c r="L271" s="98">
        <v>15000</v>
      </c>
      <c r="M271" s="58" t="s">
        <v>449</v>
      </c>
      <c r="N271" s="58">
        <v>5</v>
      </c>
    </row>
    <row r="272" spans="2:16" x14ac:dyDescent="0.3">
      <c r="B272" s="81" t="s">
        <v>283</v>
      </c>
      <c r="C272" s="81" t="s">
        <v>344</v>
      </c>
      <c r="D272" s="82">
        <v>836</v>
      </c>
      <c r="E272" s="82">
        <v>2245</v>
      </c>
      <c r="F272" s="83">
        <v>861</v>
      </c>
      <c r="K272" s="58">
        <v>7</v>
      </c>
      <c r="L272" s="98">
        <v>13000</v>
      </c>
      <c r="M272" s="58" t="s">
        <v>449</v>
      </c>
      <c r="N272" s="58">
        <v>999</v>
      </c>
    </row>
    <row r="273" spans="2:17" x14ac:dyDescent="0.3">
      <c r="B273" s="81" t="s">
        <v>283</v>
      </c>
      <c r="C273" s="81" t="s">
        <v>345</v>
      </c>
      <c r="D273" s="82">
        <v>587</v>
      </c>
      <c r="E273" s="82">
        <v>1471</v>
      </c>
      <c r="F273" s="83">
        <v>623</v>
      </c>
      <c r="K273" s="58">
        <v>8</v>
      </c>
      <c r="L273" s="98">
        <v>8000</v>
      </c>
      <c r="M273" s="58" t="s">
        <v>449</v>
      </c>
      <c r="N273" s="58">
        <v>2</v>
      </c>
    </row>
    <row r="274" spans="2:17" x14ac:dyDescent="0.3">
      <c r="B274" s="81" t="s">
        <v>283</v>
      </c>
      <c r="C274" s="81" t="s">
        <v>346</v>
      </c>
      <c r="D274" s="82">
        <v>774</v>
      </c>
      <c r="E274" s="82">
        <v>1403</v>
      </c>
      <c r="F274" s="83">
        <v>1085</v>
      </c>
      <c r="K274" s="58">
        <v>9</v>
      </c>
      <c r="L274" s="98">
        <v>11000</v>
      </c>
      <c r="M274" s="58" t="s">
        <v>450</v>
      </c>
      <c r="N274" s="58">
        <v>5</v>
      </c>
    </row>
    <row r="275" spans="2:17" x14ac:dyDescent="0.3">
      <c r="B275" s="81" t="s">
        <v>283</v>
      </c>
      <c r="C275" s="81" t="s">
        <v>347</v>
      </c>
      <c r="D275" s="82">
        <v>757</v>
      </c>
      <c r="E275" s="82">
        <v>1203</v>
      </c>
      <c r="F275" s="83">
        <v>1175</v>
      </c>
      <c r="K275" s="58">
        <v>10</v>
      </c>
      <c r="L275" s="98">
        <v>9000</v>
      </c>
      <c r="M275" s="58" t="s">
        <v>449</v>
      </c>
      <c r="N275" s="58">
        <v>6</v>
      </c>
    </row>
    <row r="276" spans="2:17" x14ac:dyDescent="0.3">
      <c r="B276" s="81" t="s">
        <v>283</v>
      </c>
      <c r="C276" s="81" t="s">
        <v>348</v>
      </c>
      <c r="D276" s="82">
        <v>591</v>
      </c>
      <c r="E276" s="82">
        <v>1439</v>
      </c>
      <c r="F276" s="83">
        <v>858</v>
      </c>
    </row>
    <row r="277" spans="2:17" x14ac:dyDescent="0.3">
      <c r="B277" s="81" t="s">
        <v>283</v>
      </c>
      <c r="C277" s="81" t="s">
        <v>349</v>
      </c>
      <c r="D277" s="82">
        <v>457</v>
      </c>
      <c r="E277" s="82">
        <v>1161</v>
      </c>
      <c r="F277" s="83">
        <v>594</v>
      </c>
    </row>
    <row r="278" spans="2:17" ht="15" thickBot="1" x14ac:dyDescent="0.35">
      <c r="B278" s="81" t="s">
        <v>283</v>
      </c>
      <c r="C278" s="81" t="s">
        <v>350</v>
      </c>
      <c r="D278" s="82">
        <v>494</v>
      </c>
      <c r="E278" s="82">
        <v>1585</v>
      </c>
      <c r="F278" s="83">
        <v>705</v>
      </c>
      <c r="K278" s="88" t="s">
        <v>451</v>
      </c>
    </row>
    <row r="279" spans="2:17" ht="15" thickBot="1" x14ac:dyDescent="0.35">
      <c r="B279" s="81" t="s">
        <v>283</v>
      </c>
      <c r="C279" s="81" t="s">
        <v>351</v>
      </c>
      <c r="D279" s="82">
        <v>914</v>
      </c>
      <c r="E279" s="82">
        <v>1727</v>
      </c>
      <c r="F279" s="83">
        <v>1308</v>
      </c>
      <c r="J279">
        <v>1</v>
      </c>
      <c r="K279" t="s">
        <v>452</v>
      </c>
      <c r="Q279" s="99">
        <f>SUMIF($M$266:$M$275,"Yes",$L$266:$L$275)</f>
        <v>79000</v>
      </c>
    </row>
    <row r="280" spans="2:17" ht="15" thickBot="1" x14ac:dyDescent="0.35">
      <c r="B280" s="81" t="s">
        <v>283</v>
      </c>
      <c r="C280" s="81" t="s">
        <v>352</v>
      </c>
      <c r="D280" s="82">
        <v>581</v>
      </c>
      <c r="E280" s="82">
        <v>1448</v>
      </c>
      <c r="F280" s="83">
        <v>885</v>
      </c>
      <c r="J280">
        <v>2</v>
      </c>
      <c r="K280" t="s">
        <v>453</v>
      </c>
      <c r="Q280" s="99">
        <f>SUMIF($M$266:$M$275,"No",$L$266:$L$275)</f>
        <v>27000</v>
      </c>
    </row>
    <row r="281" spans="2:17" ht="15" thickBot="1" x14ac:dyDescent="0.35">
      <c r="B281" s="81" t="s">
        <v>283</v>
      </c>
      <c r="C281" s="81" t="s">
        <v>353</v>
      </c>
      <c r="D281" s="82">
        <v>31</v>
      </c>
      <c r="E281" s="82">
        <v>0</v>
      </c>
      <c r="F281" s="83">
        <v>78</v>
      </c>
    </row>
    <row r="282" spans="2:17" ht="15" thickBot="1" x14ac:dyDescent="0.35">
      <c r="B282" s="81" t="s">
        <v>283</v>
      </c>
      <c r="C282" s="81" t="s">
        <v>354</v>
      </c>
      <c r="D282" s="82">
        <v>92</v>
      </c>
      <c r="E282" s="82">
        <v>233</v>
      </c>
      <c r="F282" s="83">
        <v>494</v>
      </c>
      <c r="J282">
        <v>3</v>
      </c>
      <c r="K282" t="s">
        <v>454</v>
      </c>
      <c r="Q282" s="99">
        <f>SUMIF(L266:L275,"&gt;10000",N266:N275)</f>
        <v>1028</v>
      </c>
    </row>
    <row r="283" spans="2:17" ht="15" thickBot="1" x14ac:dyDescent="0.35">
      <c r="B283" s="81" t="s">
        <v>283</v>
      </c>
      <c r="C283" s="81" t="s">
        <v>355</v>
      </c>
      <c r="D283" s="82">
        <v>486</v>
      </c>
      <c r="E283" s="82">
        <v>1176</v>
      </c>
      <c r="F283" s="83">
        <v>400</v>
      </c>
    </row>
    <row r="284" spans="2:17" ht="15" thickBot="1" x14ac:dyDescent="0.35">
      <c r="B284" s="81" t="s">
        <v>283</v>
      </c>
      <c r="C284" s="81" t="s">
        <v>356</v>
      </c>
      <c r="D284" s="82">
        <v>440</v>
      </c>
      <c r="E284" s="82">
        <v>874</v>
      </c>
      <c r="F284" s="83">
        <v>803</v>
      </c>
      <c r="J284">
        <v>4</v>
      </c>
      <c r="K284" t="s">
        <v>455</v>
      </c>
      <c r="Q284" s="99">
        <f>SUMIF($L$266:$L$275,"&gt;10000",$L$266:$L$275)</f>
        <v>65000</v>
      </c>
    </row>
    <row r="285" spans="2:17" ht="15" thickBot="1" x14ac:dyDescent="0.35">
      <c r="B285" s="81" t="s">
        <v>283</v>
      </c>
      <c r="C285" s="81" t="s">
        <v>357</v>
      </c>
      <c r="D285" s="82">
        <v>127</v>
      </c>
      <c r="E285" s="82">
        <v>695</v>
      </c>
      <c r="F285" s="83">
        <v>440</v>
      </c>
      <c r="J285">
        <v>5</v>
      </c>
      <c r="K285" t="s">
        <v>456</v>
      </c>
      <c r="Q285" s="99">
        <f>SUMIF($L$266:$L$275,"&lt;9500",$L$266:$L$275)</f>
        <v>31000</v>
      </c>
    </row>
    <row r="286" spans="2:17" x14ac:dyDescent="0.3">
      <c r="B286" s="81" t="s">
        <v>283</v>
      </c>
      <c r="C286" s="81" t="s">
        <v>358</v>
      </c>
      <c r="D286" s="82">
        <v>257</v>
      </c>
      <c r="E286" s="82">
        <v>1367</v>
      </c>
      <c r="F286" s="83">
        <v>544</v>
      </c>
      <c r="Q286" s="100"/>
    </row>
    <row r="287" spans="2:17" ht="15" thickBot="1" x14ac:dyDescent="0.35">
      <c r="B287" s="81" t="s">
        <v>283</v>
      </c>
      <c r="C287" s="81" t="s">
        <v>359</v>
      </c>
      <c r="D287" s="82">
        <v>399</v>
      </c>
      <c r="E287" s="82">
        <v>1238</v>
      </c>
      <c r="F287" s="83">
        <v>622</v>
      </c>
    </row>
    <row r="288" spans="2:17" ht="18" thickBot="1" x14ac:dyDescent="0.35">
      <c r="B288" s="81" t="s">
        <v>283</v>
      </c>
      <c r="C288" s="81" t="s">
        <v>360</v>
      </c>
      <c r="D288" s="82">
        <v>470</v>
      </c>
      <c r="E288" s="82">
        <v>1609</v>
      </c>
      <c r="F288" s="83">
        <v>662</v>
      </c>
      <c r="J288" s="146" t="s">
        <v>487</v>
      </c>
      <c r="K288" s="147"/>
      <c r="L288" s="147"/>
      <c r="M288" s="147"/>
      <c r="N288" s="147"/>
      <c r="O288" s="147"/>
      <c r="P288" s="148"/>
    </row>
    <row r="289" spans="2:20" x14ac:dyDescent="0.3">
      <c r="B289" s="81" t="s">
        <v>283</v>
      </c>
      <c r="C289" s="81" t="s">
        <v>361</v>
      </c>
      <c r="D289" s="82">
        <v>651</v>
      </c>
      <c r="E289" s="82">
        <v>2120</v>
      </c>
      <c r="F289" s="83">
        <v>824</v>
      </c>
      <c r="J289" s="91"/>
      <c r="K289" s="92" t="s">
        <v>457</v>
      </c>
      <c r="L289" s="91"/>
      <c r="M289" s="91"/>
      <c r="N289" s="91"/>
      <c r="O289" s="91"/>
      <c r="P289" s="91"/>
      <c r="Q289" s="91"/>
      <c r="R289" s="91"/>
      <c r="S289" s="91"/>
      <c r="T289" s="91"/>
    </row>
    <row r="290" spans="2:20" x14ac:dyDescent="0.3">
      <c r="B290" s="81" t="s">
        <v>283</v>
      </c>
      <c r="C290" s="81" t="s">
        <v>362</v>
      </c>
      <c r="D290" s="82">
        <v>757</v>
      </c>
      <c r="E290" s="82">
        <v>2498</v>
      </c>
      <c r="F290" s="83">
        <v>846</v>
      </c>
      <c r="J290" s="91"/>
      <c r="K290" s="214" t="s">
        <v>1</v>
      </c>
      <c r="L290" s="214" t="s">
        <v>458</v>
      </c>
      <c r="M290" s="214" t="s">
        <v>459</v>
      </c>
      <c r="N290" s="214" t="s">
        <v>460</v>
      </c>
      <c r="O290" s="91"/>
      <c r="P290" s="91"/>
      <c r="Q290" s="91"/>
      <c r="R290" s="91"/>
      <c r="S290" s="91"/>
      <c r="T290" s="91"/>
    </row>
    <row r="291" spans="2:20" x14ac:dyDescent="0.3">
      <c r="B291" s="81" t="s">
        <v>283</v>
      </c>
      <c r="C291" s="81" t="s">
        <v>363</v>
      </c>
      <c r="D291" s="82">
        <v>526</v>
      </c>
      <c r="E291" s="82">
        <v>1902</v>
      </c>
      <c r="F291" s="83">
        <v>743</v>
      </c>
      <c r="J291" s="91"/>
      <c r="K291" s="101" t="s">
        <v>461</v>
      </c>
      <c r="L291" s="101" t="s">
        <v>462</v>
      </c>
      <c r="M291" s="101" t="s">
        <v>463</v>
      </c>
      <c r="N291" s="101">
        <v>28</v>
      </c>
      <c r="O291" s="91"/>
      <c r="P291" s="91"/>
      <c r="Q291" s="91"/>
      <c r="R291" s="91"/>
      <c r="S291" s="91"/>
      <c r="T291" s="91"/>
    </row>
    <row r="292" spans="2:20" x14ac:dyDescent="0.3">
      <c r="B292" s="81" t="s">
        <v>283</v>
      </c>
      <c r="C292" s="81" t="s">
        <v>364</v>
      </c>
      <c r="D292" s="82">
        <v>196</v>
      </c>
      <c r="E292" s="82">
        <v>994</v>
      </c>
      <c r="F292" s="83">
        <v>477</v>
      </c>
      <c r="J292" s="91"/>
      <c r="K292" s="101" t="s">
        <v>464</v>
      </c>
      <c r="L292" s="101" t="s">
        <v>465</v>
      </c>
      <c r="M292" s="101" t="s">
        <v>466</v>
      </c>
      <c r="N292" s="101">
        <v>8</v>
      </c>
      <c r="O292" s="91"/>
      <c r="P292" s="91"/>
      <c r="Q292" s="91"/>
      <c r="R292" s="91"/>
      <c r="S292" s="91"/>
      <c r="T292" s="91"/>
    </row>
    <row r="293" spans="2:20" x14ac:dyDescent="0.3">
      <c r="B293" s="81" t="s">
        <v>283</v>
      </c>
      <c r="C293" s="81" t="s">
        <v>365</v>
      </c>
      <c r="D293" s="82">
        <v>260</v>
      </c>
      <c r="E293" s="82">
        <v>1010</v>
      </c>
      <c r="F293" s="83">
        <v>575</v>
      </c>
      <c r="J293" s="91"/>
      <c r="K293" s="101" t="s">
        <v>467</v>
      </c>
      <c r="L293" s="101" t="s">
        <v>468</v>
      </c>
      <c r="M293" s="101" t="s">
        <v>463</v>
      </c>
      <c r="N293" s="101">
        <v>19</v>
      </c>
      <c r="O293" s="91"/>
      <c r="P293" s="91"/>
      <c r="Q293" s="91"/>
      <c r="R293" s="91"/>
      <c r="S293" s="91"/>
      <c r="T293" s="91"/>
    </row>
    <row r="294" spans="2:20" x14ac:dyDescent="0.3">
      <c r="B294" s="81" t="s">
        <v>283</v>
      </c>
      <c r="C294" s="81" t="s">
        <v>366</v>
      </c>
      <c r="D294" s="82">
        <v>192</v>
      </c>
      <c r="E294" s="82">
        <v>899</v>
      </c>
      <c r="F294" s="83">
        <v>369</v>
      </c>
      <c r="J294" s="91"/>
      <c r="K294" s="101" t="s">
        <v>469</v>
      </c>
      <c r="L294" s="101" t="s">
        <v>470</v>
      </c>
      <c r="M294" s="101" t="s">
        <v>471</v>
      </c>
      <c r="N294" s="101">
        <v>2</v>
      </c>
      <c r="O294" s="91"/>
      <c r="P294" s="91"/>
      <c r="Q294" s="91"/>
      <c r="R294" s="91"/>
      <c r="S294" s="91"/>
      <c r="T294" s="91"/>
    </row>
    <row r="295" spans="2:20" x14ac:dyDescent="0.3">
      <c r="B295" s="81" t="s">
        <v>283</v>
      </c>
      <c r="C295" s="81" t="s">
        <v>367</v>
      </c>
      <c r="D295" s="82">
        <v>177</v>
      </c>
      <c r="E295" s="82">
        <v>284</v>
      </c>
      <c r="F295" s="83">
        <v>174</v>
      </c>
      <c r="J295" s="91"/>
      <c r="K295" s="101" t="s">
        <v>472</v>
      </c>
      <c r="L295" s="101" t="s">
        <v>468</v>
      </c>
      <c r="M295" s="101" t="s">
        <v>473</v>
      </c>
      <c r="N295" s="101">
        <v>5</v>
      </c>
      <c r="O295" s="91"/>
      <c r="P295" s="91"/>
      <c r="Q295" s="91"/>
      <c r="R295" s="91"/>
      <c r="S295" s="91"/>
      <c r="T295" s="91"/>
    </row>
    <row r="296" spans="2:20" x14ac:dyDescent="0.3">
      <c r="B296" s="81" t="s">
        <v>283</v>
      </c>
      <c r="C296" s="81" t="s">
        <v>368</v>
      </c>
      <c r="D296" s="82">
        <v>741</v>
      </c>
      <c r="E296" s="82">
        <v>1781</v>
      </c>
      <c r="F296" s="83">
        <v>1028</v>
      </c>
      <c r="J296" s="91"/>
      <c r="K296" s="101" t="s">
        <v>474</v>
      </c>
      <c r="L296" s="101" t="s">
        <v>465</v>
      </c>
      <c r="M296" s="101" t="s">
        <v>463</v>
      </c>
      <c r="N296" s="101">
        <v>9</v>
      </c>
      <c r="O296" s="91"/>
      <c r="P296" s="91"/>
      <c r="Q296" s="91"/>
      <c r="R296" s="91"/>
      <c r="S296" s="91"/>
      <c r="T296" s="91"/>
    </row>
    <row r="297" spans="2:20" x14ac:dyDescent="0.3">
      <c r="B297" s="81" t="s">
        <v>283</v>
      </c>
      <c r="C297" s="81" t="s">
        <v>369</v>
      </c>
      <c r="D297" s="82">
        <v>174</v>
      </c>
      <c r="E297" s="82">
        <v>773</v>
      </c>
      <c r="F297" s="83">
        <v>237</v>
      </c>
      <c r="J297" s="91"/>
      <c r="K297" s="101" t="s">
        <v>475</v>
      </c>
      <c r="L297" s="101" t="s">
        <v>468</v>
      </c>
      <c r="M297" s="101" t="s">
        <v>476</v>
      </c>
      <c r="N297" s="101">
        <v>18</v>
      </c>
      <c r="O297" s="91"/>
      <c r="P297" s="91"/>
      <c r="Q297" s="91"/>
      <c r="R297" s="91"/>
      <c r="S297" s="91"/>
      <c r="T297" s="91"/>
    </row>
    <row r="298" spans="2:20" x14ac:dyDescent="0.3">
      <c r="B298" s="81" t="s">
        <v>283</v>
      </c>
      <c r="C298" s="81" t="s">
        <v>370</v>
      </c>
      <c r="D298" s="82">
        <v>94</v>
      </c>
      <c r="E298" s="82">
        <v>769</v>
      </c>
      <c r="F298" s="83">
        <v>228</v>
      </c>
      <c r="J298" s="91"/>
      <c r="K298" s="101" t="s">
        <v>477</v>
      </c>
      <c r="L298" s="101" t="s">
        <v>462</v>
      </c>
      <c r="M298" s="101" t="s">
        <v>463</v>
      </c>
      <c r="N298" s="101">
        <v>11</v>
      </c>
      <c r="O298" s="91"/>
      <c r="P298" s="91"/>
      <c r="Q298" s="91"/>
      <c r="R298" s="91"/>
      <c r="S298" s="91"/>
      <c r="T298" s="91"/>
    </row>
    <row r="299" spans="2:20" x14ac:dyDescent="0.3">
      <c r="B299" s="81" t="s">
        <v>283</v>
      </c>
      <c r="C299" s="81" t="s">
        <v>371</v>
      </c>
      <c r="D299" s="82">
        <v>197</v>
      </c>
      <c r="E299" s="82">
        <v>837</v>
      </c>
      <c r="F299" s="83">
        <v>434</v>
      </c>
      <c r="J299" s="91"/>
      <c r="K299" s="101" t="s">
        <v>478</v>
      </c>
      <c r="L299" s="101" t="s">
        <v>470</v>
      </c>
      <c r="M299" s="101" t="s">
        <v>479</v>
      </c>
      <c r="N299" s="101">
        <v>3</v>
      </c>
      <c r="O299" s="91"/>
      <c r="P299" s="91"/>
      <c r="Q299" s="91"/>
      <c r="R299" s="91"/>
      <c r="S299" s="91"/>
      <c r="T299" s="91"/>
    </row>
    <row r="300" spans="2:20" x14ac:dyDescent="0.3">
      <c r="B300" s="81" t="s">
        <v>283</v>
      </c>
      <c r="C300" s="81" t="s">
        <v>372</v>
      </c>
      <c r="D300" s="82">
        <v>318</v>
      </c>
      <c r="E300" s="82">
        <v>1120</v>
      </c>
      <c r="F300" s="83">
        <v>444</v>
      </c>
      <c r="J300" s="91"/>
      <c r="K300" s="101" t="s">
        <v>480</v>
      </c>
      <c r="L300" s="101" t="s">
        <v>465</v>
      </c>
      <c r="M300" s="101" t="s">
        <v>481</v>
      </c>
      <c r="N300" s="101">
        <v>15</v>
      </c>
      <c r="O300" s="91"/>
      <c r="P300" s="91"/>
      <c r="Q300" s="91"/>
      <c r="R300" s="91"/>
      <c r="S300" s="91"/>
      <c r="T300" s="91"/>
    </row>
    <row r="301" spans="2:20" x14ac:dyDescent="0.3">
      <c r="B301" s="81" t="s">
        <v>283</v>
      </c>
      <c r="C301" s="81" t="s">
        <v>373</v>
      </c>
      <c r="D301" s="82">
        <v>82</v>
      </c>
      <c r="E301" s="82">
        <v>723</v>
      </c>
      <c r="F301" s="83">
        <v>204</v>
      </c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</row>
    <row r="302" spans="2:20" x14ac:dyDescent="0.3">
      <c r="B302" s="81" t="s">
        <v>283</v>
      </c>
      <c r="C302" s="81" t="s">
        <v>374</v>
      </c>
      <c r="D302" s="82">
        <v>206</v>
      </c>
      <c r="E302" s="82">
        <v>550</v>
      </c>
      <c r="F302" s="83">
        <v>229</v>
      </c>
      <c r="J302" s="91"/>
      <c r="K302" s="93" t="s">
        <v>482</v>
      </c>
      <c r="L302" s="91"/>
      <c r="M302" s="91"/>
      <c r="N302" s="94"/>
      <c r="O302" s="91"/>
      <c r="P302" s="91"/>
      <c r="Q302" s="91"/>
      <c r="R302" s="91"/>
      <c r="S302" s="91"/>
      <c r="T302" s="91"/>
    </row>
    <row r="303" spans="2:20" x14ac:dyDescent="0.3">
      <c r="B303" s="81" t="s">
        <v>283</v>
      </c>
      <c r="C303" s="81" t="s">
        <v>375</v>
      </c>
      <c r="D303" s="82">
        <v>390</v>
      </c>
      <c r="E303" s="82">
        <v>1297</v>
      </c>
      <c r="F303" s="83">
        <v>456</v>
      </c>
      <c r="J303" s="91">
        <v>1</v>
      </c>
      <c r="K303" s="95" t="s">
        <v>483</v>
      </c>
      <c r="L303" s="91"/>
      <c r="M303" s="91"/>
      <c r="N303" s="91"/>
      <c r="O303" s="91"/>
      <c r="P303" s="91"/>
      <c r="Q303" s="91"/>
      <c r="R303" s="91"/>
      <c r="S303" s="91"/>
      <c r="T303" s="91"/>
    </row>
    <row r="304" spans="2:20" ht="15" thickBot="1" x14ac:dyDescent="0.35">
      <c r="B304" s="81" t="s">
        <v>283</v>
      </c>
      <c r="C304" s="81" t="s">
        <v>376</v>
      </c>
      <c r="D304" s="82">
        <v>111</v>
      </c>
      <c r="E304" s="82">
        <v>1160</v>
      </c>
      <c r="F304" s="83">
        <v>282</v>
      </c>
      <c r="J304" s="91"/>
      <c r="K304" s="91"/>
      <c r="M304" s="96" t="s">
        <v>484</v>
      </c>
      <c r="N304" s="91"/>
      <c r="O304" s="91"/>
      <c r="P304" s="91"/>
      <c r="Q304" s="91"/>
      <c r="R304" s="91"/>
      <c r="S304" s="91"/>
      <c r="T304" s="91"/>
    </row>
    <row r="305" spans="2:20" ht="15" thickBot="1" x14ac:dyDescent="0.35">
      <c r="B305" s="81" t="s">
        <v>283</v>
      </c>
      <c r="C305" s="81" t="s">
        <v>377</v>
      </c>
      <c r="D305" s="82">
        <v>522</v>
      </c>
      <c r="E305" s="82">
        <v>1667</v>
      </c>
      <c r="F305" s="83">
        <v>556</v>
      </c>
      <c r="J305" s="91"/>
      <c r="K305" s="97" t="s">
        <v>125</v>
      </c>
      <c r="M305" s="135">
        <f>SUMIF(M291:M300,"USA",N291:N300)</f>
        <v>67</v>
      </c>
      <c r="N305" s="91"/>
      <c r="O305" s="91"/>
      <c r="P305" s="91"/>
      <c r="Q305" s="91"/>
      <c r="R305" s="91"/>
      <c r="S305" s="91"/>
      <c r="T305" s="91"/>
    </row>
    <row r="306" spans="2:20" x14ac:dyDescent="0.3">
      <c r="B306" s="81" t="s">
        <v>283</v>
      </c>
      <c r="C306" s="81" t="s">
        <v>378</v>
      </c>
      <c r="D306" s="82">
        <v>278</v>
      </c>
      <c r="E306" s="82">
        <v>1091</v>
      </c>
      <c r="F306" s="83">
        <v>505</v>
      </c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</row>
    <row r="307" spans="2:20" x14ac:dyDescent="0.3">
      <c r="B307" s="81" t="s">
        <v>283</v>
      </c>
      <c r="C307" s="81" t="s">
        <v>379</v>
      </c>
      <c r="D307" s="82">
        <v>0</v>
      </c>
      <c r="E307" s="82">
        <v>0</v>
      </c>
      <c r="F307" s="83">
        <v>0</v>
      </c>
      <c r="J307" s="91">
        <v>2</v>
      </c>
      <c r="K307" s="95" t="s">
        <v>485</v>
      </c>
      <c r="L307" s="91"/>
      <c r="M307" s="91"/>
      <c r="N307" s="91"/>
      <c r="O307" s="91"/>
      <c r="P307" s="91"/>
      <c r="Q307" s="91"/>
      <c r="R307" s="91"/>
      <c r="S307" s="91"/>
      <c r="T307" s="91"/>
    </row>
    <row r="308" spans="2:20" ht="15" thickBot="1" x14ac:dyDescent="0.35">
      <c r="B308" s="81" t="s">
        <v>283</v>
      </c>
      <c r="C308" s="81" t="s">
        <v>380</v>
      </c>
      <c r="D308" s="82">
        <v>120</v>
      </c>
      <c r="E308" s="82">
        <v>1335</v>
      </c>
      <c r="F308" s="83">
        <v>289</v>
      </c>
      <c r="J308" s="91"/>
      <c r="K308" s="91"/>
      <c r="M308" s="96" t="s">
        <v>484</v>
      </c>
      <c r="N308" s="91"/>
      <c r="O308" s="91"/>
      <c r="P308" s="91"/>
      <c r="Q308" s="91"/>
      <c r="R308" s="91"/>
      <c r="S308" s="91"/>
      <c r="T308" s="91"/>
    </row>
    <row r="309" spans="2:20" ht="15" thickBot="1" x14ac:dyDescent="0.35">
      <c r="B309" s="81" t="s">
        <v>283</v>
      </c>
      <c r="C309" s="81" t="s">
        <v>381</v>
      </c>
      <c r="D309" s="82">
        <v>316</v>
      </c>
      <c r="E309" s="82">
        <v>1028</v>
      </c>
      <c r="F309" s="83">
        <v>505</v>
      </c>
      <c r="J309" s="91"/>
      <c r="K309" s="97" t="s">
        <v>125</v>
      </c>
      <c r="M309" s="135">
        <f>SUMIF(L291:L300,"Figure Skating",N291:N300)</f>
        <v>5</v>
      </c>
      <c r="N309" s="91"/>
      <c r="O309" s="91"/>
      <c r="P309" s="91"/>
      <c r="Q309" s="91"/>
      <c r="R309" s="91"/>
      <c r="S309" s="91"/>
      <c r="T309" s="91"/>
    </row>
    <row r="310" spans="2:20" x14ac:dyDescent="0.3">
      <c r="B310" s="81" t="s">
        <v>283</v>
      </c>
      <c r="C310" s="81" t="s">
        <v>382</v>
      </c>
      <c r="D310" s="82">
        <v>446</v>
      </c>
      <c r="E310" s="82">
        <v>1763</v>
      </c>
      <c r="F310" s="83">
        <v>527</v>
      </c>
      <c r="J310" s="91"/>
      <c r="K310" s="91"/>
      <c r="L310" s="91"/>
      <c r="M310" s="91"/>
      <c r="N310" s="91"/>
      <c r="P310" s="91"/>
      <c r="Q310" s="91"/>
      <c r="R310" s="91"/>
      <c r="S310" s="91"/>
      <c r="T310" s="91"/>
    </row>
    <row r="311" spans="2:20" x14ac:dyDescent="0.3">
      <c r="B311" s="81" t="s">
        <v>283</v>
      </c>
      <c r="C311" s="81" t="s">
        <v>383</v>
      </c>
      <c r="D311" s="82">
        <v>0</v>
      </c>
      <c r="E311" s="82">
        <v>0</v>
      </c>
      <c r="F311" s="83">
        <v>0</v>
      </c>
      <c r="J311" s="91">
        <v>3</v>
      </c>
      <c r="K311" s="95" t="s">
        <v>486</v>
      </c>
      <c r="L311" s="91"/>
      <c r="M311" s="91"/>
      <c r="N311" s="91"/>
      <c r="O311" s="91"/>
      <c r="P311" s="91"/>
      <c r="Q311" s="91"/>
      <c r="R311" s="91"/>
      <c r="S311" s="91"/>
      <c r="T311" s="91"/>
    </row>
    <row r="312" spans="2:20" ht="15" thickBot="1" x14ac:dyDescent="0.35">
      <c r="B312" s="81" t="s">
        <v>283</v>
      </c>
      <c r="C312" s="81" t="s">
        <v>384</v>
      </c>
      <c r="D312" s="82">
        <v>254</v>
      </c>
      <c r="E312" s="82">
        <v>642</v>
      </c>
      <c r="F312" s="83">
        <v>308</v>
      </c>
      <c r="J312" s="91"/>
      <c r="K312" s="91"/>
      <c r="M312" s="96" t="s">
        <v>484</v>
      </c>
      <c r="N312" s="91"/>
      <c r="O312" s="91"/>
      <c r="P312" s="91"/>
      <c r="Q312" s="91"/>
      <c r="R312" s="91"/>
      <c r="S312" s="91"/>
      <c r="T312" s="91"/>
    </row>
    <row r="313" spans="2:20" ht="15" thickBot="1" x14ac:dyDescent="0.35">
      <c r="B313" s="81" t="s">
        <v>283</v>
      </c>
      <c r="C313" s="81" t="s">
        <v>385</v>
      </c>
      <c r="D313" s="82">
        <v>157</v>
      </c>
      <c r="E313" s="82">
        <v>440</v>
      </c>
      <c r="F313" s="83">
        <v>436</v>
      </c>
      <c r="J313" s="91"/>
      <c r="K313" s="97" t="s">
        <v>125</v>
      </c>
      <c r="M313" s="135">
        <f>SUMIF(M291:M300,"USA",N291:N300) + SUMIF(M291:M300,"Jamaica",N291:N300)</f>
        <v>75</v>
      </c>
      <c r="N313" s="91"/>
      <c r="O313" s="91"/>
      <c r="P313" s="91"/>
      <c r="Q313" s="91"/>
      <c r="R313" s="91"/>
      <c r="S313" s="91"/>
      <c r="T313" s="91"/>
    </row>
    <row r="314" spans="2:20" x14ac:dyDescent="0.3">
      <c r="B314" s="81" t="s">
        <v>283</v>
      </c>
      <c r="C314" s="81" t="s">
        <v>386</v>
      </c>
      <c r="D314" s="82">
        <v>788</v>
      </c>
      <c r="E314" s="82">
        <v>988</v>
      </c>
      <c r="F314" s="83">
        <v>673</v>
      </c>
      <c r="J314" s="91"/>
      <c r="O314" s="91"/>
      <c r="P314" s="91"/>
      <c r="Q314" s="91"/>
      <c r="R314" s="91"/>
      <c r="S314" s="91"/>
      <c r="T314" s="91"/>
    </row>
    <row r="315" spans="2:20" ht="15" thickBot="1" x14ac:dyDescent="0.35">
      <c r="B315" s="81" t="s">
        <v>283</v>
      </c>
      <c r="C315" s="81" t="s">
        <v>387</v>
      </c>
      <c r="D315" s="82">
        <v>398</v>
      </c>
      <c r="E315" s="82">
        <v>454</v>
      </c>
      <c r="F315" s="83">
        <v>333</v>
      </c>
      <c r="J315" s="91"/>
    </row>
    <row r="316" spans="2:20" ht="18" thickBot="1" x14ac:dyDescent="0.35">
      <c r="B316" s="81" t="s">
        <v>283</v>
      </c>
      <c r="C316" s="81" t="s">
        <v>388</v>
      </c>
      <c r="D316" s="82">
        <v>796</v>
      </c>
      <c r="E316" s="82">
        <v>912</v>
      </c>
      <c r="F316" s="83">
        <v>687</v>
      </c>
      <c r="J316" s="146" t="s">
        <v>512</v>
      </c>
      <c r="K316" s="147"/>
      <c r="L316" s="147"/>
      <c r="M316" s="147"/>
      <c r="N316" s="147"/>
      <c r="O316" s="147"/>
      <c r="P316" s="148"/>
    </row>
    <row r="317" spans="2:20" x14ac:dyDescent="0.3">
      <c r="B317" s="81" t="s">
        <v>283</v>
      </c>
      <c r="C317" s="81" t="s">
        <v>389</v>
      </c>
      <c r="D317" s="82">
        <v>633</v>
      </c>
      <c r="E317" s="82">
        <v>1349</v>
      </c>
      <c r="F317" s="83">
        <v>564</v>
      </c>
      <c r="J317" s="102" t="s">
        <v>488</v>
      </c>
      <c r="K317" s="102"/>
      <c r="L317" s="102"/>
      <c r="M317" s="102"/>
      <c r="N317" s="102"/>
      <c r="P317" s="102"/>
      <c r="Q317" s="102"/>
      <c r="R317" s="102"/>
    </row>
    <row r="318" spans="2:20" x14ac:dyDescent="0.3">
      <c r="B318" s="81" t="s">
        <v>283</v>
      </c>
      <c r="C318" s="81" t="s">
        <v>390</v>
      </c>
      <c r="D318" s="82">
        <v>1018</v>
      </c>
      <c r="E318" s="82">
        <v>1622</v>
      </c>
      <c r="F318" s="83">
        <v>826</v>
      </c>
      <c r="J318" s="102" t="s">
        <v>489</v>
      </c>
      <c r="K318" s="102"/>
      <c r="L318" s="102"/>
      <c r="M318" s="102"/>
      <c r="N318" s="102"/>
      <c r="P318" s="102"/>
      <c r="Q318" s="102"/>
      <c r="R318" s="102"/>
    </row>
    <row r="319" spans="2:20" x14ac:dyDescent="0.3">
      <c r="B319" s="81" t="s">
        <v>283</v>
      </c>
      <c r="C319" s="81" t="s">
        <v>391</v>
      </c>
      <c r="D319" s="82">
        <v>356</v>
      </c>
      <c r="E319" s="82">
        <v>429</v>
      </c>
      <c r="F319" s="83">
        <v>621</v>
      </c>
      <c r="J319" s="102"/>
      <c r="K319" s="102"/>
      <c r="L319" s="102"/>
      <c r="M319" s="102"/>
      <c r="N319" s="102"/>
      <c r="P319" s="102"/>
      <c r="Q319" s="102"/>
      <c r="R319" s="102"/>
    </row>
    <row r="320" spans="2:20" ht="15" thickBot="1" x14ac:dyDescent="0.35">
      <c r="B320" s="81" t="s">
        <v>283</v>
      </c>
      <c r="C320" s="81" t="s">
        <v>392</v>
      </c>
      <c r="D320" s="82">
        <v>1173</v>
      </c>
      <c r="E320" s="82">
        <v>1342</v>
      </c>
      <c r="F320" s="83">
        <v>605</v>
      </c>
      <c r="J320" s="107" t="s">
        <v>268</v>
      </c>
      <c r="K320" s="107" t="s">
        <v>491</v>
      </c>
      <c r="L320" s="102"/>
      <c r="M320" s="103" t="s">
        <v>490</v>
      </c>
      <c r="N320" s="102"/>
      <c r="P320" s="102"/>
    </row>
    <row r="321" spans="2:16" ht="15" thickBot="1" x14ac:dyDescent="0.35">
      <c r="B321" s="81" t="s">
        <v>283</v>
      </c>
      <c r="C321" s="81" t="s">
        <v>393</v>
      </c>
      <c r="D321" s="82">
        <v>729</v>
      </c>
      <c r="E321" s="82">
        <v>1085</v>
      </c>
      <c r="F321" s="83">
        <v>838</v>
      </c>
      <c r="J321" s="106">
        <v>44201</v>
      </c>
      <c r="K321" s="108" t="str">
        <f>VLOOKUP($J321,$M$322:$N$343,2,1)</f>
        <v xml:space="preserve">$1.3624 </v>
      </c>
      <c r="L321" s="102"/>
      <c r="M321" s="102"/>
      <c r="N321" s="102"/>
      <c r="P321" s="102"/>
    </row>
    <row r="322" spans="2:16" ht="15" thickBot="1" x14ac:dyDescent="0.35">
      <c r="B322" s="81" t="s">
        <v>283</v>
      </c>
      <c r="C322" s="81" t="s">
        <v>394</v>
      </c>
      <c r="D322" s="82">
        <v>935</v>
      </c>
      <c r="E322" s="82">
        <v>1436</v>
      </c>
      <c r="F322" s="83">
        <v>1237</v>
      </c>
      <c r="J322" s="106">
        <v>44211</v>
      </c>
      <c r="K322" s="108" t="str">
        <f t="shared" ref="K322:K323" si="6">VLOOKUP($J322,$M$322:$N$343,2,1)</f>
        <v xml:space="preserve">$1.3586 </v>
      </c>
      <c r="L322" s="102"/>
      <c r="M322" s="215" t="s">
        <v>268</v>
      </c>
      <c r="N322" s="216" t="s">
        <v>491</v>
      </c>
      <c r="P322" s="102"/>
    </row>
    <row r="323" spans="2:16" ht="15" thickBot="1" x14ac:dyDescent="0.35">
      <c r="B323" s="81" t="s">
        <v>283</v>
      </c>
      <c r="C323" s="81" t="s">
        <v>395</v>
      </c>
      <c r="D323" s="82">
        <v>930</v>
      </c>
      <c r="E323" s="82">
        <v>1328</v>
      </c>
      <c r="F323" s="83">
        <v>1024</v>
      </c>
      <c r="J323" s="106">
        <v>44220</v>
      </c>
      <c r="K323" s="136" t="str">
        <f t="shared" si="6"/>
        <v xml:space="preserve">$1.3684 </v>
      </c>
      <c r="L323" s="102"/>
      <c r="M323" s="104">
        <v>44197</v>
      </c>
      <c r="N323" s="105" t="s">
        <v>492</v>
      </c>
      <c r="P323" s="102"/>
    </row>
    <row r="324" spans="2:16" x14ac:dyDescent="0.3">
      <c r="B324" s="81" t="s">
        <v>283</v>
      </c>
      <c r="C324" s="81" t="s">
        <v>396</v>
      </c>
      <c r="D324" s="82">
        <v>1207</v>
      </c>
      <c r="E324" s="82">
        <v>1863</v>
      </c>
      <c r="F324" s="83">
        <v>1375</v>
      </c>
      <c r="L324" s="102"/>
      <c r="M324" s="104">
        <v>44200</v>
      </c>
      <c r="N324" s="105" t="s">
        <v>493</v>
      </c>
      <c r="P324" s="102"/>
    </row>
    <row r="325" spans="2:16" x14ac:dyDescent="0.3">
      <c r="B325" s="81" t="s">
        <v>283</v>
      </c>
      <c r="C325" s="81" t="s">
        <v>397</v>
      </c>
      <c r="D325" s="82">
        <v>1089</v>
      </c>
      <c r="E325" s="82">
        <v>1554</v>
      </c>
      <c r="F325" s="83">
        <v>945</v>
      </c>
      <c r="L325" s="102"/>
      <c r="M325" s="104">
        <v>44201</v>
      </c>
      <c r="N325" s="105" t="s">
        <v>494</v>
      </c>
      <c r="P325" s="102"/>
    </row>
    <row r="326" spans="2:16" x14ac:dyDescent="0.3">
      <c r="B326" s="81" t="s">
        <v>283</v>
      </c>
      <c r="C326" s="81" t="s">
        <v>398</v>
      </c>
      <c r="D326" s="82">
        <v>1179</v>
      </c>
      <c r="E326" s="82">
        <v>1541</v>
      </c>
      <c r="F326" s="83">
        <v>1136</v>
      </c>
      <c r="L326" s="102"/>
      <c r="M326" s="104">
        <v>44202</v>
      </c>
      <c r="N326" s="105" t="s">
        <v>495</v>
      </c>
      <c r="P326" s="102"/>
    </row>
    <row r="327" spans="2:16" x14ac:dyDescent="0.3">
      <c r="B327" s="81" t="s">
        <v>283</v>
      </c>
      <c r="C327" s="81" t="s">
        <v>399</v>
      </c>
      <c r="D327" s="82">
        <v>646</v>
      </c>
      <c r="E327" s="82">
        <v>1144</v>
      </c>
      <c r="F327" s="83">
        <v>1027</v>
      </c>
      <c r="J327" s="102"/>
      <c r="K327" s="102"/>
      <c r="L327" s="102"/>
      <c r="M327" s="104">
        <v>44203</v>
      </c>
      <c r="N327" s="105" t="s">
        <v>496</v>
      </c>
      <c r="P327" s="102"/>
    </row>
    <row r="328" spans="2:16" x14ac:dyDescent="0.3">
      <c r="B328" s="81" t="s">
        <v>283</v>
      </c>
      <c r="C328" s="81" t="s">
        <v>400</v>
      </c>
      <c r="D328" s="82">
        <v>689</v>
      </c>
      <c r="E328" s="82">
        <v>1352</v>
      </c>
      <c r="F328" s="83">
        <v>777</v>
      </c>
      <c r="J328" s="102"/>
      <c r="K328" s="102"/>
      <c r="L328" s="102"/>
      <c r="M328" s="104">
        <v>44204</v>
      </c>
      <c r="N328" s="105" t="s">
        <v>496</v>
      </c>
      <c r="P328" s="102"/>
    </row>
    <row r="329" spans="2:16" x14ac:dyDescent="0.3">
      <c r="B329" s="81" t="s">
        <v>283</v>
      </c>
      <c r="C329" s="81" t="s">
        <v>401</v>
      </c>
      <c r="D329" s="82">
        <v>92</v>
      </c>
      <c r="E329" s="82">
        <v>1393</v>
      </c>
      <c r="F329" s="83">
        <v>295</v>
      </c>
      <c r="J329" s="102"/>
      <c r="K329" s="102"/>
      <c r="L329" s="102"/>
      <c r="M329" s="104">
        <v>44207</v>
      </c>
      <c r="N329" s="105" t="s">
        <v>497</v>
      </c>
      <c r="P329" s="102"/>
    </row>
    <row r="330" spans="2:16" x14ac:dyDescent="0.3">
      <c r="B330" s="81" t="s">
        <v>283</v>
      </c>
      <c r="C330" s="81" t="s">
        <v>402</v>
      </c>
      <c r="D330" s="82">
        <v>361</v>
      </c>
      <c r="E330" s="82">
        <v>4109</v>
      </c>
      <c r="F330" s="83">
        <v>761</v>
      </c>
      <c r="J330" s="102"/>
      <c r="K330" s="102"/>
      <c r="L330" s="102"/>
      <c r="M330" s="104">
        <v>44208</v>
      </c>
      <c r="N330" s="105" t="s">
        <v>498</v>
      </c>
      <c r="P330" s="102"/>
    </row>
    <row r="331" spans="2:16" x14ac:dyDescent="0.3">
      <c r="B331" s="81" t="s">
        <v>283</v>
      </c>
      <c r="C331" s="81" t="s">
        <v>403</v>
      </c>
      <c r="D331" s="82">
        <v>148</v>
      </c>
      <c r="E331" s="82">
        <v>1510</v>
      </c>
      <c r="F331" s="83">
        <v>300</v>
      </c>
      <c r="J331" s="102"/>
      <c r="K331" s="102"/>
      <c r="L331" s="102"/>
      <c r="M331" s="104">
        <v>44209</v>
      </c>
      <c r="N331" s="105" t="s">
        <v>499</v>
      </c>
      <c r="P331" s="102"/>
    </row>
    <row r="332" spans="2:16" x14ac:dyDescent="0.3">
      <c r="B332" s="81" t="s">
        <v>283</v>
      </c>
      <c r="C332" s="81" t="s">
        <v>404</v>
      </c>
      <c r="D332" s="82">
        <v>367</v>
      </c>
      <c r="E332" s="82">
        <v>1942</v>
      </c>
      <c r="F332" s="83">
        <v>817</v>
      </c>
      <c r="J332" s="102"/>
      <c r="K332" s="102"/>
      <c r="L332" s="102"/>
      <c r="M332" s="104">
        <v>44210</v>
      </c>
      <c r="N332" s="105" t="s">
        <v>500</v>
      </c>
      <c r="P332" s="102"/>
    </row>
    <row r="333" spans="2:16" x14ac:dyDescent="0.3">
      <c r="B333" s="81" t="s">
        <v>283</v>
      </c>
      <c r="C333" s="81" t="s">
        <v>405</v>
      </c>
      <c r="D333" s="82">
        <v>96</v>
      </c>
      <c r="E333" s="82">
        <v>249</v>
      </c>
      <c r="F333" s="83">
        <v>191</v>
      </c>
      <c r="J333" s="102"/>
      <c r="K333" s="102"/>
      <c r="L333" s="102"/>
      <c r="M333" s="104">
        <v>44211</v>
      </c>
      <c r="N333" s="105" t="s">
        <v>501</v>
      </c>
      <c r="P333" s="102"/>
    </row>
    <row r="334" spans="2:16" x14ac:dyDescent="0.3">
      <c r="B334" s="81" t="s">
        <v>283</v>
      </c>
      <c r="C334" s="81" t="s">
        <v>406</v>
      </c>
      <c r="D334" s="82">
        <v>104</v>
      </c>
      <c r="E334" s="82">
        <v>281</v>
      </c>
      <c r="F334" s="83">
        <v>241</v>
      </c>
      <c r="J334" s="102"/>
      <c r="K334" s="102"/>
      <c r="L334" s="102"/>
      <c r="M334" s="104">
        <v>44214</v>
      </c>
      <c r="N334" s="105" t="s">
        <v>502</v>
      </c>
      <c r="P334" s="102"/>
    </row>
    <row r="335" spans="2:16" x14ac:dyDescent="0.3">
      <c r="B335" s="81" t="s">
        <v>283</v>
      </c>
      <c r="C335" s="81" t="s">
        <v>407</v>
      </c>
      <c r="D335" s="82">
        <v>152</v>
      </c>
      <c r="E335" s="82">
        <v>225</v>
      </c>
      <c r="F335" s="83">
        <v>215</v>
      </c>
      <c r="J335" s="102"/>
      <c r="K335" s="102"/>
      <c r="L335" s="102"/>
      <c r="M335" s="104">
        <v>44215</v>
      </c>
      <c r="N335" s="105" t="s">
        <v>503</v>
      </c>
      <c r="P335" s="102"/>
    </row>
    <row r="336" spans="2:16" x14ac:dyDescent="0.3">
      <c r="B336" s="81" t="s">
        <v>283</v>
      </c>
      <c r="C336" s="81" t="s">
        <v>408</v>
      </c>
      <c r="D336" s="82">
        <v>661</v>
      </c>
      <c r="E336" s="82">
        <v>1509</v>
      </c>
      <c r="F336" s="83">
        <v>818</v>
      </c>
      <c r="J336" s="102"/>
      <c r="K336" s="102"/>
      <c r="L336" s="102"/>
      <c r="M336" s="104">
        <v>44216</v>
      </c>
      <c r="N336" s="105" t="s">
        <v>504</v>
      </c>
      <c r="P336" s="102"/>
    </row>
    <row r="337" spans="2:16" x14ac:dyDescent="0.3">
      <c r="B337" s="81" t="s">
        <v>283</v>
      </c>
      <c r="C337" s="81" t="s">
        <v>409</v>
      </c>
      <c r="D337" s="82">
        <v>417</v>
      </c>
      <c r="E337" s="82">
        <v>591</v>
      </c>
      <c r="F337" s="83">
        <v>414</v>
      </c>
      <c r="J337" s="102"/>
      <c r="K337" s="102"/>
      <c r="L337" s="102"/>
      <c r="M337" s="104">
        <v>44217</v>
      </c>
      <c r="N337" s="105" t="s">
        <v>505</v>
      </c>
      <c r="P337" s="102"/>
    </row>
    <row r="338" spans="2:16" x14ac:dyDescent="0.3">
      <c r="B338" s="81" t="s">
        <v>283</v>
      </c>
      <c r="C338" s="81" t="s">
        <v>410</v>
      </c>
      <c r="D338" s="82">
        <v>588</v>
      </c>
      <c r="E338" s="82">
        <v>1036</v>
      </c>
      <c r="F338" s="83">
        <v>725</v>
      </c>
      <c r="J338" s="102"/>
      <c r="K338" s="102"/>
      <c r="L338" s="102"/>
      <c r="M338" s="104">
        <v>44218</v>
      </c>
      <c r="N338" s="105" t="s">
        <v>506</v>
      </c>
      <c r="P338" s="102"/>
    </row>
    <row r="339" spans="2:16" x14ac:dyDescent="0.3">
      <c r="B339" s="81" t="s">
        <v>283</v>
      </c>
      <c r="C339" s="81" t="s">
        <v>411</v>
      </c>
      <c r="D339" s="82">
        <v>99</v>
      </c>
      <c r="E339" s="82">
        <v>566</v>
      </c>
      <c r="F339" s="83">
        <v>200</v>
      </c>
      <c r="J339" s="102"/>
      <c r="K339" s="102"/>
      <c r="L339" s="102"/>
      <c r="M339" s="104">
        <v>44221</v>
      </c>
      <c r="N339" s="105" t="s">
        <v>507</v>
      </c>
      <c r="P339" s="102"/>
    </row>
    <row r="340" spans="2:16" x14ac:dyDescent="0.3">
      <c r="B340" s="81" t="s">
        <v>283</v>
      </c>
      <c r="C340" s="81" t="s">
        <v>412</v>
      </c>
      <c r="D340" s="82">
        <v>1113</v>
      </c>
      <c r="E340" s="82">
        <v>1539</v>
      </c>
      <c r="F340" s="83">
        <v>1209</v>
      </c>
      <c r="J340" s="102"/>
      <c r="K340" s="102"/>
      <c r="L340" s="102"/>
      <c r="M340" s="104">
        <v>44222</v>
      </c>
      <c r="N340" s="105" t="s">
        <v>508</v>
      </c>
      <c r="P340" s="102"/>
    </row>
    <row r="341" spans="2:16" x14ac:dyDescent="0.3">
      <c r="B341" s="81" t="s">
        <v>283</v>
      </c>
      <c r="C341" s="81" t="s">
        <v>413</v>
      </c>
      <c r="D341" s="82">
        <v>1462</v>
      </c>
      <c r="E341" s="82">
        <v>1993</v>
      </c>
      <c r="F341" s="83">
        <v>1444</v>
      </c>
      <c r="J341" s="102"/>
      <c r="K341" s="102"/>
      <c r="L341" s="102"/>
      <c r="M341" s="104">
        <v>44223</v>
      </c>
      <c r="N341" s="105" t="s">
        <v>509</v>
      </c>
      <c r="P341" s="102"/>
    </row>
    <row r="342" spans="2:16" x14ac:dyDescent="0.3">
      <c r="B342" s="81" t="s">
        <v>283</v>
      </c>
      <c r="C342" s="81" t="s">
        <v>414</v>
      </c>
      <c r="D342" s="82">
        <v>1094</v>
      </c>
      <c r="E342" s="82">
        <v>1924</v>
      </c>
      <c r="F342" s="83">
        <v>1466</v>
      </c>
      <c r="J342" s="102"/>
      <c r="K342" s="102"/>
      <c r="L342" s="102"/>
      <c r="M342" s="104">
        <v>44224</v>
      </c>
      <c r="N342" s="105" t="s">
        <v>510</v>
      </c>
      <c r="P342" s="102"/>
    </row>
    <row r="343" spans="2:16" x14ac:dyDescent="0.3">
      <c r="B343" s="81" t="s">
        <v>283</v>
      </c>
      <c r="C343" s="81" t="s">
        <v>415</v>
      </c>
      <c r="D343" s="82">
        <v>924</v>
      </c>
      <c r="E343" s="82">
        <v>1799</v>
      </c>
      <c r="F343" s="83">
        <v>1269</v>
      </c>
      <c r="J343" s="102"/>
      <c r="K343" s="102"/>
      <c r="L343" s="102"/>
      <c r="M343" s="104">
        <v>44225</v>
      </c>
      <c r="N343" s="105" t="s">
        <v>511</v>
      </c>
      <c r="P343" s="102"/>
    </row>
    <row r="344" spans="2:16" x14ac:dyDescent="0.3">
      <c r="B344" s="81" t="s">
        <v>283</v>
      </c>
      <c r="C344" s="81" t="s">
        <v>416</v>
      </c>
      <c r="D344" s="82">
        <v>0</v>
      </c>
      <c r="E344" s="82">
        <v>0</v>
      </c>
      <c r="F344" s="83">
        <v>0</v>
      </c>
    </row>
    <row r="345" spans="2:16" ht="15" thickBot="1" x14ac:dyDescent="0.35">
      <c r="B345" s="81" t="s">
        <v>283</v>
      </c>
      <c r="C345" s="81" t="s">
        <v>417</v>
      </c>
      <c r="D345" s="82">
        <v>296</v>
      </c>
      <c r="E345" s="82">
        <v>443</v>
      </c>
      <c r="F345" s="83">
        <v>157</v>
      </c>
    </row>
    <row r="346" spans="2:16" ht="18" thickBot="1" x14ac:dyDescent="0.35">
      <c r="B346" s="81" t="s">
        <v>283</v>
      </c>
      <c r="C346" s="81" t="s">
        <v>418</v>
      </c>
      <c r="D346" s="82">
        <v>858</v>
      </c>
      <c r="E346" s="82">
        <v>1562</v>
      </c>
      <c r="F346" s="83">
        <v>832</v>
      </c>
      <c r="J346" s="146" t="s">
        <v>540</v>
      </c>
      <c r="K346" s="147"/>
      <c r="L346" s="147"/>
      <c r="M346" s="147"/>
      <c r="N346" s="147"/>
      <c r="O346" s="147"/>
      <c r="P346" s="148"/>
    </row>
    <row r="347" spans="2:16" x14ac:dyDescent="0.3">
      <c r="B347" s="81" t="s">
        <v>283</v>
      </c>
      <c r="C347" s="81" t="s">
        <v>419</v>
      </c>
      <c r="D347" s="82">
        <v>487</v>
      </c>
      <c r="E347" s="82">
        <v>821</v>
      </c>
      <c r="F347" s="83">
        <v>556</v>
      </c>
      <c r="J347" s="103"/>
      <c r="K347" s="142" t="s">
        <v>513</v>
      </c>
      <c r="L347" s="142"/>
      <c r="M347" s="142"/>
      <c r="N347" s="142"/>
      <c r="O347" s="102"/>
    </row>
    <row r="348" spans="2:16" x14ac:dyDescent="0.3">
      <c r="B348" s="81" t="s">
        <v>283</v>
      </c>
      <c r="C348" s="81" t="s">
        <v>420</v>
      </c>
      <c r="D348" s="82">
        <v>985</v>
      </c>
      <c r="E348" s="82">
        <v>2100</v>
      </c>
      <c r="F348" s="83">
        <v>1402</v>
      </c>
      <c r="J348" s="103"/>
      <c r="K348" s="217" t="s">
        <v>104</v>
      </c>
      <c r="L348" s="217" t="s">
        <v>1</v>
      </c>
      <c r="M348" s="217" t="s">
        <v>514</v>
      </c>
      <c r="N348" s="217" t="s">
        <v>121</v>
      </c>
      <c r="O348" s="217" t="s">
        <v>145</v>
      </c>
    </row>
    <row r="349" spans="2:16" x14ac:dyDescent="0.3">
      <c r="B349" s="81" t="s">
        <v>283</v>
      </c>
      <c r="C349" s="81" t="s">
        <v>421</v>
      </c>
      <c r="D349" s="82">
        <v>430</v>
      </c>
      <c r="E349" s="82">
        <v>976</v>
      </c>
      <c r="F349" s="83">
        <v>616</v>
      </c>
      <c r="J349" s="103"/>
      <c r="K349" s="111">
        <v>56815</v>
      </c>
      <c r="L349" s="111" t="s">
        <v>515</v>
      </c>
      <c r="M349" s="111" t="s">
        <v>516</v>
      </c>
      <c r="N349" s="111">
        <v>13836</v>
      </c>
      <c r="O349" s="111">
        <v>25</v>
      </c>
    </row>
    <row r="350" spans="2:16" x14ac:dyDescent="0.3">
      <c r="B350" s="81" t="s">
        <v>283</v>
      </c>
      <c r="C350" s="81" t="s">
        <v>422</v>
      </c>
      <c r="D350" s="82">
        <v>11</v>
      </c>
      <c r="E350" s="82">
        <v>4</v>
      </c>
      <c r="F350" s="83">
        <v>351</v>
      </c>
      <c r="J350" s="103"/>
      <c r="K350" s="111">
        <v>51186</v>
      </c>
      <c r="L350" s="111" t="s">
        <v>517</v>
      </c>
      <c r="M350" s="111" t="s">
        <v>518</v>
      </c>
      <c r="N350" s="111">
        <v>11771</v>
      </c>
      <c r="O350" s="111">
        <v>32</v>
      </c>
    </row>
    <row r="351" spans="2:16" x14ac:dyDescent="0.3">
      <c r="B351" s="81" t="s">
        <v>283</v>
      </c>
      <c r="C351" s="81" t="s">
        <v>423</v>
      </c>
      <c r="D351" s="82">
        <v>370</v>
      </c>
      <c r="E351" s="82">
        <v>480</v>
      </c>
      <c r="F351" s="83">
        <v>398</v>
      </c>
      <c r="J351" s="103"/>
      <c r="K351" s="111">
        <v>51511</v>
      </c>
      <c r="L351" s="111" t="s">
        <v>519</v>
      </c>
      <c r="M351" s="111" t="s">
        <v>520</v>
      </c>
      <c r="N351" s="111">
        <v>13046</v>
      </c>
      <c r="O351" s="111">
        <v>35</v>
      </c>
    </row>
    <row r="352" spans="2:16" x14ac:dyDescent="0.3">
      <c r="B352" s="81" t="s">
        <v>283</v>
      </c>
      <c r="C352" s="81" t="s">
        <v>424</v>
      </c>
      <c r="D352" s="82">
        <v>778</v>
      </c>
      <c r="E352" s="82">
        <v>1343</v>
      </c>
      <c r="F352" s="83">
        <v>1071</v>
      </c>
      <c r="J352" s="103"/>
      <c r="K352" s="111">
        <v>50890</v>
      </c>
      <c r="L352" s="111" t="s">
        <v>521</v>
      </c>
      <c r="M352" s="111" t="s">
        <v>522</v>
      </c>
      <c r="N352" s="111">
        <v>18276</v>
      </c>
      <c r="O352" s="111">
        <v>32</v>
      </c>
    </row>
    <row r="353" spans="2:15" x14ac:dyDescent="0.3">
      <c r="B353" s="81" t="s">
        <v>283</v>
      </c>
      <c r="C353" s="81" t="s">
        <v>425</v>
      </c>
      <c r="D353" s="82">
        <v>783</v>
      </c>
      <c r="E353" s="82">
        <v>1429</v>
      </c>
      <c r="F353" s="83">
        <v>1018</v>
      </c>
      <c r="J353" s="103"/>
      <c r="K353" s="111">
        <v>53700</v>
      </c>
      <c r="L353" s="111" t="s">
        <v>523</v>
      </c>
      <c r="M353" s="111" t="s">
        <v>524</v>
      </c>
      <c r="N353" s="111">
        <v>19327</v>
      </c>
      <c r="O353" s="111">
        <v>26</v>
      </c>
    </row>
    <row r="354" spans="2:15" x14ac:dyDescent="0.3">
      <c r="B354" s="81" t="s">
        <v>283</v>
      </c>
      <c r="C354" s="81" t="s">
        <v>426</v>
      </c>
      <c r="D354" s="82">
        <v>1376</v>
      </c>
      <c r="E354" s="82">
        <v>2314</v>
      </c>
      <c r="F354" s="83">
        <v>1440</v>
      </c>
      <c r="J354" s="103"/>
      <c r="K354" s="111">
        <v>55879</v>
      </c>
      <c r="L354" s="111" t="s">
        <v>525</v>
      </c>
      <c r="M354" s="111" t="s">
        <v>526</v>
      </c>
      <c r="N354" s="111">
        <v>18996</v>
      </c>
      <c r="O354" s="111">
        <v>35</v>
      </c>
    </row>
    <row r="355" spans="2:15" x14ac:dyDescent="0.3">
      <c r="B355" s="81" t="s">
        <v>283</v>
      </c>
      <c r="C355" s="81" t="s">
        <v>427</v>
      </c>
      <c r="D355" s="82">
        <v>717</v>
      </c>
      <c r="E355" s="82">
        <v>1732</v>
      </c>
      <c r="F355" s="83">
        <v>1623</v>
      </c>
      <c r="J355" s="103"/>
      <c r="K355" s="111">
        <v>59848</v>
      </c>
      <c r="L355" s="111" t="s">
        <v>527</v>
      </c>
      <c r="M355" s="111" t="s">
        <v>520</v>
      </c>
      <c r="N355" s="111">
        <v>10387</v>
      </c>
      <c r="O355" s="111">
        <v>25</v>
      </c>
    </row>
    <row r="356" spans="2:15" x14ac:dyDescent="0.3">
      <c r="B356" s="81" t="s">
        <v>283</v>
      </c>
      <c r="C356" s="81" t="s">
        <v>428</v>
      </c>
      <c r="D356" s="82">
        <v>301</v>
      </c>
      <c r="E356" s="82">
        <v>720</v>
      </c>
      <c r="F356" s="83">
        <v>629</v>
      </c>
      <c r="J356" s="103"/>
      <c r="K356" s="111">
        <v>58369</v>
      </c>
      <c r="L356" s="111" t="s">
        <v>528</v>
      </c>
      <c r="M356" s="111" t="s">
        <v>526</v>
      </c>
      <c r="N356" s="111">
        <v>12566</v>
      </c>
      <c r="O356" s="111">
        <v>37</v>
      </c>
    </row>
    <row r="357" spans="2:15" x14ac:dyDescent="0.3">
      <c r="B357" s="81" t="s">
        <v>283</v>
      </c>
      <c r="C357" s="81" t="s">
        <v>429</v>
      </c>
      <c r="D357" s="82">
        <v>179</v>
      </c>
      <c r="E357" s="82">
        <v>303</v>
      </c>
      <c r="F357" s="83">
        <v>258</v>
      </c>
      <c r="J357" s="103"/>
      <c r="K357" s="111">
        <v>50217</v>
      </c>
      <c r="L357" s="111" t="s">
        <v>529</v>
      </c>
      <c r="M357" s="111" t="s">
        <v>530</v>
      </c>
      <c r="N357" s="111">
        <v>16406</v>
      </c>
      <c r="O357" s="111">
        <v>42</v>
      </c>
    </row>
    <row r="358" spans="2:15" x14ac:dyDescent="0.3">
      <c r="B358" s="81" t="s">
        <v>283</v>
      </c>
      <c r="C358" s="81" t="s">
        <v>430</v>
      </c>
      <c r="D358" s="82">
        <v>919</v>
      </c>
      <c r="E358" s="82">
        <v>1445</v>
      </c>
      <c r="F358" s="83">
        <v>1250</v>
      </c>
      <c r="J358" s="103"/>
      <c r="K358" s="111">
        <v>50695</v>
      </c>
      <c r="L358" s="111" t="s">
        <v>531</v>
      </c>
      <c r="M358" s="111" t="s">
        <v>522</v>
      </c>
      <c r="N358" s="111">
        <v>15784</v>
      </c>
      <c r="O358" s="111">
        <v>43</v>
      </c>
    </row>
    <row r="359" spans="2:15" x14ac:dyDescent="0.3">
      <c r="B359" s="81" t="s">
        <v>283</v>
      </c>
      <c r="C359" s="81" t="s">
        <v>431</v>
      </c>
      <c r="D359" s="82">
        <v>396</v>
      </c>
      <c r="E359" s="82">
        <v>704</v>
      </c>
      <c r="F359" s="83">
        <v>712</v>
      </c>
      <c r="J359" s="103"/>
      <c r="K359" s="111">
        <v>59673</v>
      </c>
      <c r="L359" s="111" t="s">
        <v>532</v>
      </c>
      <c r="M359" s="111" t="s">
        <v>516</v>
      </c>
      <c r="N359" s="111">
        <v>10959</v>
      </c>
      <c r="O359" s="111">
        <v>30</v>
      </c>
    </row>
    <row r="360" spans="2:15" x14ac:dyDescent="0.3">
      <c r="B360" s="81" t="s">
        <v>283</v>
      </c>
      <c r="C360" s="81" t="s">
        <v>432</v>
      </c>
      <c r="D360" s="82">
        <v>387</v>
      </c>
      <c r="E360" s="82">
        <v>735</v>
      </c>
      <c r="F360" s="83">
        <v>677</v>
      </c>
      <c r="J360" s="103"/>
      <c r="K360" s="111">
        <v>52130</v>
      </c>
      <c r="L360" s="111" t="s">
        <v>533</v>
      </c>
      <c r="M360" s="111" t="s">
        <v>534</v>
      </c>
      <c r="N360" s="111">
        <v>14562</v>
      </c>
      <c r="O360" s="111">
        <v>32</v>
      </c>
    </row>
    <row r="361" spans="2:15" ht="15" thickBot="1" x14ac:dyDescent="0.35">
      <c r="B361" s="81" t="s">
        <v>283</v>
      </c>
      <c r="C361" s="81" t="s">
        <v>433</v>
      </c>
      <c r="D361" s="82">
        <v>869</v>
      </c>
      <c r="E361" s="82">
        <v>1267</v>
      </c>
      <c r="F361" s="83">
        <v>801</v>
      </c>
      <c r="J361" s="142"/>
      <c r="K361" s="142"/>
      <c r="L361" s="102"/>
      <c r="M361" s="102"/>
      <c r="N361" s="102"/>
      <c r="O361" s="102"/>
    </row>
    <row r="362" spans="2:15" ht="15" thickBot="1" x14ac:dyDescent="0.35">
      <c r="B362" s="81" t="s">
        <v>283</v>
      </c>
      <c r="C362" s="81" t="s">
        <v>434</v>
      </c>
      <c r="D362" s="82">
        <v>1500</v>
      </c>
      <c r="E362" s="82">
        <v>2104</v>
      </c>
      <c r="F362" s="83">
        <v>1570</v>
      </c>
      <c r="J362" s="109">
        <v>1</v>
      </c>
      <c r="K362" s="102" t="s">
        <v>535</v>
      </c>
      <c r="L362" s="110"/>
      <c r="M362" s="110"/>
      <c r="N362" s="115" t="str">
        <f>VLOOKUP(K356,K348:O360,2,0)</f>
        <v>Thomas Davies</v>
      </c>
      <c r="O362" s="102"/>
    </row>
    <row r="363" spans="2:15" ht="15" thickBot="1" x14ac:dyDescent="0.35">
      <c r="B363" s="81" t="s">
        <v>283</v>
      </c>
      <c r="C363" s="81" t="s">
        <v>435</v>
      </c>
      <c r="D363" s="82">
        <v>1064</v>
      </c>
      <c r="E363" s="82">
        <v>1509</v>
      </c>
      <c r="F363" s="83">
        <v>1126</v>
      </c>
      <c r="J363" s="142"/>
      <c r="K363" s="142"/>
      <c r="L363" s="102"/>
      <c r="M363" s="102"/>
      <c r="N363" s="116"/>
      <c r="O363" s="102"/>
    </row>
    <row r="364" spans="2:15" ht="15" thickBot="1" x14ac:dyDescent="0.35">
      <c r="B364" s="81" t="s">
        <v>283</v>
      </c>
      <c r="C364" s="81" t="s">
        <v>436</v>
      </c>
      <c r="D364" s="82">
        <v>1272</v>
      </c>
      <c r="E364" s="82">
        <v>2058</v>
      </c>
      <c r="F364" s="83">
        <v>1702</v>
      </c>
      <c r="J364" s="109">
        <v>2</v>
      </c>
      <c r="K364" s="102" t="s">
        <v>536</v>
      </c>
      <c r="L364" s="110"/>
      <c r="M364" s="102"/>
      <c r="N364" s="115">
        <f>VLOOKUP(L359,L348:O360,4,0)</f>
        <v>30</v>
      </c>
      <c r="O364" s="102"/>
    </row>
    <row r="365" spans="2:15" x14ac:dyDescent="0.3">
      <c r="B365" s="81" t="s">
        <v>283</v>
      </c>
      <c r="C365" s="81" t="s">
        <v>437</v>
      </c>
      <c r="D365" s="82">
        <v>916</v>
      </c>
      <c r="E365" s="82">
        <v>1326</v>
      </c>
      <c r="F365" s="83">
        <v>840</v>
      </c>
      <c r="J365" s="142"/>
      <c r="K365" s="142"/>
      <c r="L365" s="102"/>
      <c r="M365" s="102"/>
      <c r="N365" s="102"/>
      <c r="O365" s="102"/>
    </row>
    <row r="366" spans="2:15" x14ac:dyDescent="0.3">
      <c r="B366" s="81" t="s">
        <v>283</v>
      </c>
      <c r="C366" s="81" t="s">
        <v>438</v>
      </c>
      <c r="D366" s="82">
        <v>877</v>
      </c>
      <c r="E366" s="82">
        <v>1498</v>
      </c>
      <c r="F366" s="83">
        <v>1274</v>
      </c>
      <c r="J366" s="109">
        <v>3</v>
      </c>
      <c r="K366" s="144" t="s">
        <v>537</v>
      </c>
      <c r="L366" s="144"/>
      <c r="M366" s="144"/>
      <c r="N366" s="102"/>
      <c r="O366" s="102"/>
    </row>
    <row r="367" spans="2:15" x14ac:dyDescent="0.3">
      <c r="B367" s="81" t="s">
        <v>283</v>
      </c>
      <c r="C367" s="81" t="s">
        <v>439</v>
      </c>
      <c r="D367" s="82">
        <v>716</v>
      </c>
      <c r="E367" s="82">
        <v>1119</v>
      </c>
      <c r="F367" s="83">
        <v>837</v>
      </c>
      <c r="J367" s="142"/>
      <c r="K367" s="142"/>
      <c r="L367" s="102"/>
      <c r="M367" s="102"/>
      <c r="N367" s="102"/>
      <c r="O367" s="102"/>
    </row>
    <row r="368" spans="2:15" ht="15" thickBot="1" x14ac:dyDescent="0.35">
      <c r="B368" s="81" t="s">
        <v>283</v>
      </c>
      <c r="C368" s="81" t="s">
        <v>440</v>
      </c>
      <c r="D368" s="82">
        <v>772</v>
      </c>
      <c r="E368" s="82">
        <v>1410</v>
      </c>
      <c r="F368" s="83">
        <v>1199</v>
      </c>
      <c r="J368" s="103"/>
      <c r="K368" s="112" t="s">
        <v>104</v>
      </c>
      <c r="L368" s="113" t="s">
        <v>514</v>
      </c>
      <c r="M368" s="102"/>
      <c r="N368" s="102"/>
      <c r="O368" s="102"/>
    </row>
    <row r="369" spans="1:15" ht="15" thickBot="1" x14ac:dyDescent="0.35">
      <c r="B369" s="81" t="s">
        <v>283</v>
      </c>
      <c r="C369" s="81" t="s">
        <v>441</v>
      </c>
      <c r="D369" s="82">
        <v>1190</v>
      </c>
      <c r="E369" s="82">
        <v>1969</v>
      </c>
      <c r="F369" s="83">
        <v>1597</v>
      </c>
      <c r="J369" s="103"/>
      <c r="K369" s="114">
        <v>55879</v>
      </c>
      <c r="L369" s="115" t="str">
        <f>VLOOKUP($K369,$K$348:$O$360,3,0)</f>
        <v>Capetown</v>
      </c>
      <c r="M369" s="102"/>
      <c r="N369" s="102"/>
      <c r="O369" s="102"/>
    </row>
    <row r="370" spans="1:15" ht="15" thickBot="1" x14ac:dyDescent="0.35">
      <c r="J370" s="103"/>
      <c r="K370" s="114">
        <v>50217</v>
      </c>
      <c r="L370" s="115" t="str">
        <f t="shared" ref="L370:L371" si="7">VLOOKUP($K370,$K$348:$O$360,3,0)</f>
        <v>Warsaw</v>
      </c>
      <c r="M370" s="102"/>
      <c r="N370" s="102"/>
      <c r="O370" s="102"/>
    </row>
    <row r="371" spans="1:15" ht="18" thickBot="1" x14ac:dyDescent="0.35">
      <c r="A371" s="146" t="s">
        <v>566</v>
      </c>
      <c r="B371" s="147"/>
      <c r="C371" s="147"/>
      <c r="D371" s="147"/>
      <c r="E371" s="147"/>
      <c r="F371" s="147"/>
      <c r="G371" s="148"/>
      <c r="J371" s="103"/>
      <c r="K371" s="114">
        <v>50695</v>
      </c>
      <c r="L371" s="115" t="str">
        <f t="shared" si="7"/>
        <v>Cairo</v>
      </c>
      <c r="M371" s="102"/>
      <c r="N371" s="102"/>
      <c r="O371" s="102"/>
    </row>
    <row r="372" spans="1:15" x14ac:dyDescent="0.3">
      <c r="A372" s="117"/>
      <c r="B372" s="118" t="s">
        <v>541</v>
      </c>
      <c r="C372" s="117"/>
      <c r="D372" s="117"/>
      <c r="E372" s="117"/>
      <c r="F372" s="117"/>
      <c r="G372" s="117"/>
      <c r="J372" s="142"/>
      <c r="K372" s="142"/>
      <c r="L372" s="102"/>
      <c r="M372" s="102"/>
      <c r="N372" s="102"/>
      <c r="O372" s="102"/>
    </row>
    <row r="373" spans="1:15" x14ac:dyDescent="0.3">
      <c r="A373" s="117"/>
      <c r="B373" s="218" t="s">
        <v>1</v>
      </c>
      <c r="C373" s="218" t="s">
        <v>145</v>
      </c>
      <c r="D373" s="218" t="s">
        <v>542</v>
      </c>
      <c r="E373" s="218" t="s">
        <v>543</v>
      </c>
      <c r="F373" s="117"/>
      <c r="G373" s="117"/>
      <c r="J373" s="109">
        <v>4</v>
      </c>
      <c r="K373" s="144" t="s">
        <v>538</v>
      </c>
      <c r="L373" s="144"/>
      <c r="M373" s="144"/>
      <c r="N373" s="102"/>
      <c r="O373" s="102"/>
    </row>
    <row r="374" spans="1:15" x14ac:dyDescent="0.3">
      <c r="A374" s="117"/>
      <c r="B374" s="121" t="s">
        <v>544</v>
      </c>
      <c r="C374" s="121">
        <v>35</v>
      </c>
      <c r="D374" s="121" t="s">
        <v>545</v>
      </c>
      <c r="E374" s="121" t="s">
        <v>546</v>
      </c>
      <c r="F374" s="117"/>
      <c r="G374" s="117"/>
      <c r="J374" s="142"/>
      <c r="K374" s="142"/>
      <c r="L374" s="102"/>
      <c r="M374" s="102"/>
      <c r="N374" s="102"/>
      <c r="O374" s="102"/>
    </row>
    <row r="375" spans="1:15" ht="15" thickBot="1" x14ac:dyDescent="0.35">
      <c r="A375" s="117"/>
      <c r="B375" s="121" t="s">
        <v>547</v>
      </c>
      <c r="C375" s="121">
        <v>42</v>
      </c>
      <c r="D375" s="121" t="s">
        <v>548</v>
      </c>
      <c r="E375" s="121" t="s">
        <v>549</v>
      </c>
      <c r="F375" s="117"/>
      <c r="G375" s="117"/>
      <c r="J375" s="103"/>
      <c r="K375" s="112" t="s">
        <v>1</v>
      </c>
      <c r="L375" s="113" t="s">
        <v>121</v>
      </c>
      <c r="M375" s="102"/>
      <c r="N375" s="102"/>
      <c r="O375" s="102"/>
    </row>
    <row r="376" spans="1:15" ht="15" thickBot="1" x14ac:dyDescent="0.35">
      <c r="A376" s="117"/>
      <c r="B376" s="121" t="s">
        <v>108</v>
      </c>
      <c r="C376" s="121">
        <v>28</v>
      </c>
      <c r="D376" s="121" t="s">
        <v>545</v>
      </c>
      <c r="E376" s="121" t="s">
        <v>550</v>
      </c>
      <c r="F376" s="117"/>
      <c r="G376" s="117"/>
      <c r="J376" s="103"/>
      <c r="K376" s="114" t="s">
        <v>521</v>
      </c>
      <c r="L376" s="115">
        <f>VLOOKUP($K376,$L$348:$O$360,3,0)</f>
        <v>18276</v>
      </c>
      <c r="M376" s="102"/>
      <c r="N376" s="102"/>
      <c r="O376" s="102"/>
    </row>
    <row r="377" spans="1:15" ht="15" thickBot="1" x14ac:dyDescent="0.35">
      <c r="A377" s="117"/>
      <c r="B377" s="121" t="s">
        <v>551</v>
      </c>
      <c r="C377" s="121">
        <v>25</v>
      </c>
      <c r="D377" s="121" t="s">
        <v>548</v>
      </c>
      <c r="E377" s="121" t="s">
        <v>117</v>
      </c>
      <c r="F377" s="117"/>
      <c r="G377" s="117"/>
      <c r="J377" s="103"/>
      <c r="K377" s="114" t="s">
        <v>539</v>
      </c>
      <c r="L377" s="115" t="e">
        <f t="shared" ref="L377" si="8">VLOOKUP($K377,$L$348:$O$360,3,0)</f>
        <v>#N/A</v>
      </c>
      <c r="M377" s="102"/>
      <c r="N377" s="102"/>
      <c r="O377" s="102"/>
    </row>
    <row r="378" spans="1:15" ht="15" thickBot="1" x14ac:dyDescent="0.35">
      <c r="A378" s="117"/>
      <c r="B378" s="121" t="s">
        <v>552</v>
      </c>
      <c r="C378" s="121">
        <v>31</v>
      </c>
      <c r="D378" s="121" t="s">
        <v>545</v>
      </c>
      <c r="E378" s="121" t="s">
        <v>118</v>
      </c>
      <c r="F378" s="117"/>
      <c r="G378" s="117"/>
      <c r="J378" s="103"/>
      <c r="K378" s="114" t="s">
        <v>532</v>
      </c>
      <c r="L378" s="115">
        <f>VLOOKUP($K378,$L$348:$O$360,3,0)</f>
        <v>10959</v>
      </c>
      <c r="M378" s="102"/>
      <c r="N378" s="102"/>
      <c r="O378" s="102"/>
    </row>
    <row r="379" spans="1:15" x14ac:dyDescent="0.3">
      <c r="A379" s="117"/>
      <c r="B379" s="121" t="s">
        <v>553</v>
      </c>
      <c r="C379" s="121">
        <v>27</v>
      </c>
      <c r="D379" s="121" t="s">
        <v>548</v>
      </c>
      <c r="E379" s="121" t="s">
        <v>554</v>
      </c>
      <c r="F379" s="117"/>
      <c r="G379" s="117"/>
    </row>
    <row r="380" spans="1:15" x14ac:dyDescent="0.3">
      <c r="A380" s="117"/>
      <c r="B380" s="121" t="s">
        <v>555</v>
      </c>
      <c r="C380" s="121">
        <v>38</v>
      </c>
      <c r="D380" s="121" t="s">
        <v>545</v>
      </c>
      <c r="E380" s="121" t="s">
        <v>556</v>
      </c>
      <c r="F380" s="117"/>
      <c r="G380" s="117"/>
    </row>
    <row r="381" spans="1:15" x14ac:dyDescent="0.3">
      <c r="A381" s="117"/>
      <c r="B381" s="121" t="s">
        <v>557</v>
      </c>
      <c r="C381" s="121">
        <v>29</v>
      </c>
      <c r="D381" s="121" t="s">
        <v>548</v>
      </c>
      <c r="E381" s="121" t="s">
        <v>558</v>
      </c>
      <c r="F381" s="117"/>
      <c r="G381" s="117"/>
    </row>
    <row r="382" spans="1:15" x14ac:dyDescent="0.3">
      <c r="A382" s="117"/>
      <c r="B382" s="121" t="s">
        <v>559</v>
      </c>
      <c r="C382" s="121">
        <v>45</v>
      </c>
      <c r="D382" s="121" t="s">
        <v>545</v>
      </c>
      <c r="E382" s="121" t="s">
        <v>560</v>
      </c>
      <c r="F382" s="117"/>
      <c r="G382" s="117"/>
    </row>
    <row r="383" spans="1:15" x14ac:dyDescent="0.3">
      <c r="A383" s="117"/>
      <c r="B383" s="121" t="s">
        <v>561</v>
      </c>
      <c r="C383" s="121">
        <v>33</v>
      </c>
      <c r="D383" s="121" t="s">
        <v>548</v>
      </c>
      <c r="E383" s="121" t="s">
        <v>562</v>
      </c>
      <c r="F383" s="117"/>
      <c r="G383" s="117"/>
    </row>
    <row r="384" spans="1:15" x14ac:dyDescent="0.3">
      <c r="A384" s="143"/>
      <c r="B384" s="143"/>
      <c r="C384" s="117"/>
      <c r="D384" s="117"/>
      <c r="E384" s="117"/>
      <c r="F384" s="117"/>
      <c r="G384" s="117"/>
    </row>
    <row r="385" spans="1:16" x14ac:dyDescent="0.3">
      <c r="A385" s="143"/>
      <c r="B385" s="143"/>
      <c r="C385" s="117"/>
      <c r="D385" s="117"/>
      <c r="E385" s="117"/>
      <c r="F385" s="117"/>
      <c r="G385" s="117"/>
    </row>
    <row r="386" spans="1:16" x14ac:dyDescent="0.3">
      <c r="A386" s="117"/>
      <c r="B386" s="119" t="s">
        <v>482</v>
      </c>
      <c r="C386" s="117"/>
      <c r="D386" s="117"/>
      <c r="E386" s="117"/>
      <c r="F386" s="117"/>
      <c r="G386" s="117"/>
    </row>
    <row r="387" spans="1:16" x14ac:dyDescent="0.3">
      <c r="A387" s="143"/>
      <c r="B387" s="143"/>
      <c r="C387" s="117"/>
      <c r="D387" s="117"/>
      <c r="E387" s="117"/>
      <c r="F387" s="117"/>
      <c r="G387" s="117"/>
    </row>
    <row r="388" spans="1:16" x14ac:dyDescent="0.3">
      <c r="A388" s="117">
        <v>1</v>
      </c>
      <c r="B388" s="117" t="s">
        <v>563</v>
      </c>
      <c r="C388" s="117"/>
      <c r="D388" s="117"/>
      <c r="E388" s="117"/>
      <c r="F388" s="117"/>
      <c r="G388" s="117"/>
    </row>
    <row r="389" spans="1:16" ht="15" thickBot="1" x14ac:dyDescent="0.35">
      <c r="A389" s="143"/>
      <c r="B389" s="143"/>
      <c r="C389" s="120" t="s">
        <v>484</v>
      </c>
      <c r="D389" s="120"/>
      <c r="E389" s="117"/>
      <c r="F389" s="117"/>
      <c r="G389" s="117"/>
    </row>
    <row r="390" spans="1:16" ht="15" thickBot="1" x14ac:dyDescent="0.35">
      <c r="A390" s="117"/>
      <c r="B390" s="118" t="s">
        <v>125</v>
      </c>
      <c r="C390" s="122" t="str">
        <f>VLOOKUP(B375,B373:E383,4,0)</f>
        <v>Data Scientist</v>
      </c>
      <c r="D390" s="117"/>
      <c r="E390" s="117"/>
      <c r="F390" s="117"/>
      <c r="G390" s="117"/>
    </row>
    <row r="391" spans="1:16" x14ac:dyDescent="0.3">
      <c r="A391" s="143"/>
      <c r="B391" s="143"/>
      <c r="C391" s="117"/>
      <c r="D391" s="117"/>
      <c r="E391" s="117"/>
      <c r="F391" s="117"/>
      <c r="G391" s="117"/>
    </row>
    <row r="392" spans="1:16" x14ac:dyDescent="0.3">
      <c r="A392" s="117">
        <v>2</v>
      </c>
      <c r="B392" s="117" t="s">
        <v>564</v>
      </c>
      <c r="C392" s="117"/>
      <c r="D392" s="117"/>
      <c r="E392" s="117"/>
      <c r="F392" s="117"/>
      <c r="G392" s="117"/>
    </row>
    <row r="393" spans="1:16" ht="15" thickBot="1" x14ac:dyDescent="0.35">
      <c r="A393" s="143"/>
      <c r="B393" s="143"/>
      <c r="C393" s="120" t="s">
        <v>484</v>
      </c>
      <c r="D393" s="120"/>
      <c r="E393" s="117"/>
      <c r="F393" s="117"/>
      <c r="G393" s="117"/>
    </row>
    <row r="394" spans="1:16" ht="15" thickBot="1" x14ac:dyDescent="0.35">
      <c r="A394" s="117"/>
      <c r="B394" s="118" t="s">
        <v>125</v>
      </c>
      <c r="C394" s="122">
        <f>VLOOKUP("Mike Lee",B373:E383,2,0)</f>
        <v>45</v>
      </c>
      <c r="D394" s="117"/>
      <c r="E394" s="117"/>
      <c r="F394" s="117"/>
      <c r="G394" s="117"/>
    </row>
    <row r="395" spans="1:16" x14ac:dyDescent="0.3">
      <c r="A395" s="143"/>
      <c r="B395" s="143"/>
      <c r="C395" s="117"/>
      <c r="D395" s="117"/>
      <c r="E395" s="117"/>
      <c r="F395" s="117"/>
      <c r="G395" s="117"/>
    </row>
    <row r="396" spans="1:16" x14ac:dyDescent="0.3">
      <c r="A396" s="117">
        <v>2</v>
      </c>
      <c r="B396" s="117" t="s">
        <v>565</v>
      </c>
      <c r="C396" s="117"/>
      <c r="D396" s="117"/>
      <c r="E396" s="117"/>
      <c r="F396" s="117"/>
      <c r="G396" s="117"/>
    </row>
    <row r="397" spans="1:16" ht="15" thickBot="1" x14ac:dyDescent="0.35">
      <c r="A397" s="143"/>
      <c r="B397" s="143"/>
      <c r="C397" s="120" t="s">
        <v>484</v>
      </c>
      <c r="D397" s="120"/>
      <c r="E397" s="117"/>
      <c r="F397" s="117"/>
      <c r="G397" s="117"/>
    </row>
    <row r="398" spans="1:16" ht="15" thickBot="1" x14ac:dyDescent="0.35">
      <c r="A398" s="117"/>
      <c r="B398" s="118" t="s">
        <v>125</v>
      </c>
      <c r="C398" s="122" t="str">
        <f>VLOOKUP("B*",B373:E383,4,0)</f>
        <v>Accountant</v>
      </c>
      <c r="D398" s="117"/>
      <c r="E398" s="117"/>
      <c r="F398" s="117"/>
      <c r="G398" s="117"/>
    </row>
    <row r="399" spans="1:16" ht="15" thickBot="1" x14ac:dyDescent="0.35"/>
    <row r="400" spans="1:16" ht="18" thickBot="1" x14ac:dyDescent="0.35">
      <c r="A400" s="146" t="s">
        <v>567</v>
      </c>
      <c r="B400" s="147"/>
      <c r="C400" s="147"/>
      <c r="D400" s="147"/>
      <c r="E400" s="147"/>
      <c r="F400" s="147"/>
      <c r="G400" s="148"/>
      <c r="J400" s="146" t="s">
        <v>652</v>
      </c>
      <c r="K400" s="147"/>
      <c r="L400" s="147"/>
      <c r="M400" s="147"/>
      <c r="N400" s="147"/>
      <c r="O400" s="147"/>
      <c r="P400" s="148"/>
    </row>
    <row r="401" spans="1:16" x14ac:dyDescent="0.3">
      <c r="A401" s="137" t="s">
        <v>607</v>
      </c>
      <c r="B401" s="137" t="s">
        <v>608</v>
      </c>
      <c r="C401" s="137" t="s">
        <v>609</v>
      </c>
      <c r="D401" s="137" t="s">
        <v>610</v>
      </c>
      <c r="E401" s="137" t="s">
        <v>611</v>
      </c>
      <c r="J401" s="137" t="s">
        <v>612</v>
      </c>
      <c r="K401" s="137" t="s">
        <v>1</v>
      </c>
      <c r="L401" s="137" t="s">
        <v>613</v>
      </c>
      <c r="M401" s="137" t="s">
        <v>614</v>
      </c>
      <c r="N401" s="137" t="s">
        <v>615</v>
      </c>
      <c r="O401" s="137" t="s">
        <v>616</v>
      </c>
      <c r="P401" s="137" t="s">
        <v>651</v>
      </c>
    </row>
    <row r="402" spans="1:16" x14ac:dyDescent="0.3">
      <c r="A402" s="56">
        <v>1</v>
      </c>
      <c r="B402" s="58" t="s">
        <v>568</v>
      </c>
      <c r="C402" s="58" t="s">
        <v>569</v>
      </c>
      <c r="D402" s="58">
        <v>50000</v>
      </c>
      <c r="E402" s="58">
        <v>30</v>
      </c>
      <c r="J402" s="58">
        <v>11280</v>
      </c>
      <c r="K402" s="58" t="s">
        <v>617</v>
      </c>
      <c r="L402" s="58" t="s">
        <v>618</v>
      </c>
      <c r="M402" s="58">
        <v>15</v>
      </c>
      <c r="N402" s="58">
        <v>30000</v>
      </c>
      <c r="O402" s="58">
        <v>450000</v>
      </c>
      <c r="P402" s="58">
        <f>IF(M402&gt;20,O402*0.8,O402)</f>
        <v>450000</v>
      </c>
    </row>
    <row r="403" spans="1:16" x14ac:dyDescent="0.3">
      <c r="A403" s="56">
        <v>2</v>
      </c>
      <c r="B403" s="58" t="s">
        <v>570</v>
      </c>
      <c r="C403" s="58" t="s">
        <v>571</v>
      </c>
      <c r="D403" s="58">
        <v>60000</v>
      </c>
      <c r="E403" s="58">
        <v>35</v>
      </c>
      <c r="J403" s="58">
        <v>11281</v>
      </c>
      <c r="K403" s="58" t="s">
        <v>619</v>
      </c>
      <c r="L403" s="58" t="s">
        <v>620</v>
      </c>
      <c r="M403" s="58">
        <v>10</v>
      </c>
      <c r="N403" s="58">
        <v>25000</v>
      </c>
      <c r="O403" s="58">
        <v>250000</v>
      </c>
      <c r="P403" s="58">
        <f t="shared" ref="P403:P419" si="9">IF(M403&gt;20,O403*0.8,O403)</f>
        <v>250000</v>
      </c>
    </row>
    <row r="404" spans="1:16" x14ac:dyDescent="0.3">
      <c r="A404" s="56">
        <v>3</v>
      </c>
      <c r="B404" s="58" t="s">
        <v>572</v>
      </c>
      <c r="C404" s="58" t="s">
        <v>573</v>
      </c>
      <c r="D404" s="58">
        <v>75000</v>
      </c>
      <c r="E404" s="58">
        <v>40</v>
      </c>
      <c r="J404" s="58">
        <v>11282</v>
      </c>
      <c r="K404" s="58" t="s">
        <v>621</v>
      </c>
      <c r="L404" s="58" t="s">
        <v>622</v>
      </c>
      <c r="M404" s="58">
        <v>150</v>
      </c>
      <c r="N404" s="58">
        <v>28000</v>
      </c>
      <c r="O404" s="58">
        <v>4200000</v>
      </c>
      <c r="P404" s="58">
        <f t="shared" si="9"/>
        <v>3360000</v>
      </c>
    </row>
    <row r="405" spans="1:16" x14ac:dyDescent="0.3">
      <c r="A405" s="56">
        <v>4</v>
      </c>
      <c r="B405" s="58" t="s">
        <v>574</v>
      </c>
      <c r="C405" s="58" t="s">
        <v>575</v>
      </c>
      <c r="D405" s="58">
        <v>55000</v>
      </c>
      <c r="E405" s="58">
        <v>28</v>
      </c>
      <c r="J405" s="58">
        <v>11283</v>
      </c>
      <c r="K405" s="58" t="s">
        <v>623</v>
      </c>
      <c r="L405" s="58" t="s">
        <v>624</v>
      </c>
      <c r="M405" s="58">
        <v>12</v>
      </c>
      <c r="N405" s="58">
        <v>30000</v>
      </c>
      <c r="O405" s="58">
        <v>360000</v>
      </c>
      <c r="P405" s="58">
        <f t="shared" si="9"/>
        <v>360000</v>
      </c>
    </row>
    <row r="406" spans="1:16" x14ac:dyDescent="0.3">
      <c r="A406" s="56">
        <v>5</v>
      </c>
      <c r="B406" s="58" t="s">
        <v>576</v>
      </c>
      <c r="C406" s="58" t="s">
        <v>577</v>
      </c>
      <c r="D406" s="58">
        <v>80000</v>
      </c>
      <c r="E406" s="58">
        <v>45</v>
      </c>
      <c r="J406" s="58">
        <v>11284</v>
      </c>
      <c r="K406" s="58" t="s">
        <v>625</v>
      </c>
      <c r="L406" s="58" t="s">
        <v>626</v>
      </c>
      <c r="M406" s="58">
        <v>20</v>
      </c>
      <c r="N406" s="58">
        <v>30000</v>
      </c>
      <c r="O406" s="58">
        <v>600000</v>
      </c>
      <c r="P406" s="58">
        <f t="shared" si="9"/>
        <v>600000</v>
      </c>
    </row>
    <row r="407" spans="1:16" x14ac:dyDescent="0.3">
      <c r="A407" s="56">
        <v>6</v>
      </c>
      <c r="B407" s="58" t="s">
        <v>578</v>
      </c>
      <c r="C407" s="58" t="s">
        <v>579</v>
      </c>
      <c r="D407" s="58">
        <v>65000</v>
      </c>
      <c r="E407" s="58">
        <v>33</v>
      </c>
      <c r="J407" s="58">
        <v>11285</v>
      </c>
      <c r="K407" s="58" t="s">
        <v>627</v>
      </c>
      <c r="L407" s="58" t="s">
        <v>628</v>
      </c>
      <c r="M407" s="58">
        <v>20</v>
      </c>
      <c r="N407" s="58">
        <v>26000</v>
      </c>
      <c r="O407" s="58">
        <v>520000</v>
      </c>
      <c r="P407" s="58">
        <f t="shared" si="9"/>
        <v>520000</v>
      </c>
    </row>
    <row r="408" spans="1:16" x14ac:dyDescent="0.3">
      <c r="A408" s="56">
        <v>7</v>
      </c>
      <c r="B408" s="58" t="s">
        <v>580</v>
      </c>
      <c r="C408" s="58" t="s">
        <v>581</v>
      </c>
      <c r="D408" s="58">
        <v>70000</v>
      </c>
      <c r="E408" s="58">
        <v>38</v>
      </c>
      <c r="J408" s="58">
        <v>11286</v>
      </c>
      <c r="K408" s="58" t="s">
        <v>629</v>
      </c>
      <c r="L408" s="58" t="s">
        <v>630</v>
      </c>
      <c r="M408" s="58">
        <v>2</v>
      </c>
      <c r="N408" s="58">
        <v>30000</v>
      </c>
      <c r="O408" s="58">
        <v>60000</v>
      </c>
      <c r="P408" s="58">
        <f t="shared" si="9"/>
        <v>60000</v>
      </c>
    </row>
    <row r="409" spans="1:16" x14ac:dyDescent="0.3">
      <c r="A409" s="56">
        <v>8</v>
      </c>
      <c r="B409" s="58" t="s">
        <v>582</v>
      </c>
      <c r="C409" s="58" t="s">
        <v>583</v>
      </c>
      <c r="D409" s="58">
        <v>60000</v>
      </c>
      <c r="E409" s="58">
        <v>32</v>
      </c>
      <c r="J409" s="58">
        <v>11287</v>
      </c>
      <c r="K409" s="58" t="s">
        <v>631</v>
      </c>
      <c r="L409" s="58" t="s">
        <v>632</v>
      </c>
      <c r="M409" s="58">
        <v>5</v>
      </c>
      <c r="N409" s="58">
        <v>35000</v>
      </c>
      <c r="O409" s="58">
        <v>175000</v>
      </c>
      <c r="P409" s="58">
        <f t="shared" si="9"/>
        <v>175000</v>
      </c>
    </row>
    <row r="410" spans="1:16" x14ac:dyDescent="0.3">
      <c r="A410" s="56">
        <v>9</v>
      </c>
      <c r="B410" s="58" t="s">
        <v>584</v>
      </c>
      <c r="C410" s="58" t="s">
        <v>585</v>
      </c>
      <c r="D410" s="58">
        <v>85000</v>
      </c>
      <c r="E410" s="58">
        <v>42</v>
      </c>
      <c r="J410" s="58">
        <v>11288</v>
      </c>
      <c r="K410" s="58" t="s">
        <v>633</v>
      </c>
      <c r="L410" s="58" t="s">
        <v>634</v>
      </c>
      <c r="M410" s="58">
        <v>80</v>
      </c>
      <c r="N410" s="58">
        <v>30000</v>
      </c>
      <c r="O410" s="58">
        <v>2400000</v>
      </c>
      <c r="P410" s="58">
        <f t="shared" si="9"/>
        <v>1920000</v>
      </c>
    </row>
    <row r="411" spans="1:16" x14ac:dyDescent="0.3">
      <c r="A411" s="56">
        <v>10</v>
      </c>
      <c r="B411" s="58" t="s">
        <v>586</v>
      </c>
      <c r="C411" s="58" t="s">
        <v>587</v>
      </c>
      <c r="D411" s="58">
        <v>70000</v>
      </c>
      <c r="E411" s="58">
        <v>36</v>
      </c>
      <c r="J411" s="58">
        <v>11289</v>
      </c>
      <c r="K411" s="58" t="s">
        <v>635</v>
      </c>
      <c r="L411" s="58" t="s">
        <v>636</v>
      </c>
      <c r="M411" s="58">
        <v>100</v>
      </c>
      <c r="N411" s="58">
        <v>26000</v>
      </c>
      <c r="O411" s="58">
        <v>2600000</v>
      </c>
      <c r="P411" s="58">
        <f t="shared" si="9"/>
        <v>2080000</v>
      </c>
    </row>
    <row r="412" spans="1:16" x14ac:dyDescent="0.3">
      <c r="A412" s="56">
        <v>11</v>
      </c>
      <c r="B412" s="58" t="s">
        <v>588</v>
      </c>
      <c r="C412" s="58" t="s">
        <v>589</v>
      </c>
      <c r="D412" s="58">
        <v>60000</v>
      </c>
      <c r="E412" s="58">
        <v>31</v>
      </c>
      <c r="J412" s="58">
        <v>11290</v>
      </c>
      <c r="K412" s="58" t="s">
        <v>637</v>
      </c>
      <c r="L412" s="58" t="s">
        <v>638</v>
      </c>
      <c r="M412" s="58">
        <v>20</v>
      </c>
      <c r="N412" s="58">
        <v>35000</v>
      </c>
      <c r="O412" s="58">
        <v>700000</v>
      </c>
      <c r="P412" s="58">
        <f t="shared" si="9"/>
        <v>700000</v>
      </c>
    </row>
    <row r="413" spans="1:16" x14ac:dyDescent="0.3">
      <c r="A413" s="56">
        <v>12</v>
      </c>
      <c r="B413" s="58" t="s">
        <v>590</v>
      </c>
      <c r="C413" s="58" t="s">
        <v>591</v>
      </c>
      <c r="D413" s="58">
        <v>55000</v>
      </c>
      <c r="E413" s="58">
        <v>29</v>
      </c>
      <c r="J413" s="58">
        <v>11291</v>
      </c>
      <c r="K413" s="58" t="s">
        <v>639</v>
      </c>
      <c r="L413" s="58" t="s">
        <v>640</v>
      </c>
      <c r="M413" s="58">
        <v>25</v>
      </c>
      <c r="N413" s="58">
        <v>40000</v>
      </c>
      <c r="O413" s="58">
        <v>1000000</v>
      </c>
      <c r="P413" s="58">
        <f t="shared" si="9"/>
        <v>800000</v>
      </c>
    </row>
    <row r="414" spans="1:16" x14ac:dyDescent="0.3">
      <c r="A414" s="56">
        <v>13</v>
      </c>
      <c r="B414" s="58" t="s">
        <v>592</v>
      </c>
      <c r="C414" s="58" t="s">
        <v>571</v>
      </c>
      <c r="D414" s="58">
        <v>90000</v>
      </c>
      <c r="E414" s="58">
        <v>48</v>
      </c>
      <c r="J414" s="58">
        <v>11292</v>
      </c>
      <c r="K414" s="58" t="s">
        <v>641</v>
      </c>
      <c r="L414" s="58" t="s">
        <v>642</v>
      </c>
      <c r="M414" s="58">
        <v>10</v>
      </c>
      <c r="N414" s="58">
        <v>28000</v>
      </c>
      <c r="O414" s="58">
        <v>280000</v>
      </c>
      <c r="P414" s="58">
        <f t="shared" si="9"/>
        <v>280000</v>
      </c>
    </row>
    <row r="415" spans="1:16" x14ac:dyDescent="0.3">
      <c r="A415" s="56">
        <v>14</v>
      </c>
      <c r="B415" s="58" t="s">
        <v>593</v>
      </c>
      <c r="C415" s="58" t="s">
        <v>594</v>
      </c>
      <c r="D415" s="58">
        <v>65000</v>
      </c>
      <c r="E415" s="58">
        <v>34</v>
      </c>
      <c r="J415" s="58">
        <v>11293</v>
      </c>
      <c r="K415" s="58" t="s">
        <v>643</v>
      </c>
      <c r="L415" s="58" t="s">
        <v>644</v>
      </c>
      <c r="M415" s="58">
        <v>10</v>
      </c>
      <c r="N415" s="58">
        <v>30000</v>
      </c>
      <c r="O415" s="58">
        <v>300000</v>
      </c>
      <c r="P415" s="58">
        <f t="shared" si="9"/>
        <v>300000</v>
      </c>
    </row>
    <row r="416" spans="1:16" x14ac:dyDescent="0.3">
      <c r="A416" s="56">
        <v>15</v>
      </c>
      <c r="B416" s="58" t="s">
        <v>595</v>
      </c>
      <c r="C416" s="58" t="s">
        <v>596</v>
      </c>
      <c r="D416" s="58">
        <v>75000</v>
      </c>
      <c r="E416" s="58">
        <v>39</v>
      </c>
      <c r="J416" s="58">
        <v>11294</v>
      </c>
      <c r="K416" s="58" t="s">
        <v>645</v>
      </c>
      <c r="L416" s="58" t="s">
        <v>646</v>
      </c>
      <c r="M416" s="58">
        <v>5</v>
      </c>
      <c r="N416" s="58">
        <v>30000</v>
      </c>
      <c r="O416" s="58">
        <v>150000</v>
      </c>
      <c r="P416" s="58">
        <f t="shared" si="9"/>
        <v>150000</v>
      </c>
    </row>
    <row r="417" spans="1:16" x14ac:dyDescent="0.3">
      <c r="A417" s="56">
        <v>16</v>
      </c>
      <c r="B417" s="58" t="s">
        <v>597</v>
      </c>
      <c r="C417" s="58" t="s">
        <v>598</v>
      </c>
      <c r="D417" s="58">
        <v>70000</v>
      </c>
      <c r="E417" s="58">
        <v>37</v>
      </c>
      <c r="J417" s="58">
        <v>11295</v>
      </c>
      <c r="K417" s="58" t="s">
        <v>647</v>
      </c>
      <c r="L417" s="58" t="s">
        <v>648</v>
      </c>
      <c r="M417" s="58">
        <v>180</v>
      </c>
      <c r="N417" s="58">
        <v>26000</v>
      </c>
      <c r="O417" s="58">
        <v>4680000</v>
      </c>
      <c r="P417" s="58">
        <f t="shared" si="9"/>
        <v>3744000</v>
      </c>
    </row>
    <row r="418" spans="1:16" x14ac:dyDescent="0.3">
      <c r="A418" s="56">
        <v>17</v>
      </c>
      <c r="B418" s="58" t="s">
        <v>599</v>
      </c>
      <c r="C418" s="58" t="s">
        <v>600</v>
      </c>
      <c r="D418" s="58">
        <v>80000</v>
      </c>
      <c r="E418" s="58">
        <v>41</v>
      </c>
      <c r="J418" s="58">
        <v>11296</v>
      </c>
      <c r="K418" s="58" t="s">
        <v>649</v>
      </c>
      <c r="L418" s="58" t="s">
        <v>630</v>
      </c>
      <c r="M418" s="58">
        <v>5</v>
      </c>
      <c r="N418" s="58">
        <v>30000</v>
      </c>
      <c r="O418" s="58">
        <v>150000</v>
      </c>
      <c r="P418" s="58">
        <f t="shared" si="9"/>
        <v>150000</v>
      </c>
    </row>
    <row r="419" spans="1:16" x14ac:dyDescent="0.3">
      <c r="A419" s="56">
        <v>18</v>
      </c>
      <c r="B419" s="58" t="s">
        <v>601</v>
      </c>
      <c r="C419" s="58" t="s">
        <v>602</v>
      </c>
      <c r="D419" s="58">
        <v>60000</v>
      </c>
      <c r="E419" s="58">
        <v>33</v>
      </c>
      <c r="J419" s="58">
        <v>11297</v>
      </c>
      <c r="K419" s="58" t="s">
        <v>650</v>
      </c>
      <c r="L419" s="58" t="s">
        <v>632</v>
      </c>
      <c r="M419" s="58">
        <v>250</v>
      </c>
      <c r="N419" s="58">
        <v>35000</v>
      </c>
      <c r="O419" s="58">
        <v>8750000</v>
      </c>
      <c r="P419" s="58">
        <f t="shared" si="9"/>
        <v>7000000</v>
      </c>
    </row>
    <row r="420" spans="1:16" x14ac:dyDescent="0.3">
      <c r="A420" s="56">
        <v>19</v>
      </c>
      <c r="B420" s="58" t="s">
        <v>603</v>
      </c>
      <c r="C420" s="58" t="s">
        <v>604</v>
      </c>
      <c r="D420" s="58">
        <v>70000</v>
      </c>
      <c r="E420" s="58">
        <v>38</v>
      </c>
    </row>
    <row r="421" spans="1:16" x14ac:dyDescent="0.3">
      <c r="A421" s="56">
        <v>20</v>
      </c>
      <c r="B421" s="58" t="s">
        <v>605</v>
      </c>
      <c r="C421" s="58" t="s">
        <v>606</v>
      </c>
      <c r="D421" s="58">
        <v>65000</v>
      </c>
      <c r="E421" s="58">
        <v>35</v>
      </c>
    </row>
  </sheetData>
  <mergeCells count="94">
    <mergeCell ref="A13:F13"/>
    <mergeCell ref="A1:F1"/>
    <mergeCell ref="A23:F23"/>
    <mergeCell ref="I23:N23"/>
    <mergeCell ref="B21:E21"/>
    <mergeCell ref="B19:E19"/>
    <mergeCell ref="B17:E17"/>
    <mergeCell ref="B15:E15"/>
    <mergeCell ref="I1:N1"/>
    <mergeCell ref="I17:L17"/>
    <mergeCell ref="I18:L18"/>
    <mergeCell ref="I15:S15"/>
    <mergeCell ref="I3:N3"/>
    <mergeCell ref="M6:R6"/>
    <mergeCell ref="C33:D33"/>
    <mergeCell ref="C32:D32"/>
    <mergeCell ref="C34:D34"/>
    <mergeCell ref="B38:F38"/>
    <mergeCell ref="A36:F36"/>
    <mergeCell ref="J43:O43"/>
    <mergeCell ref="J33:K33"/>
    <mergeCell ref="J32:K32"/>
    <mergeCell ref="J31:K31"/>
    <mergeCell ref="J30:K30"/>
    <mergeCell ref="J40:K40"/>
    <mergeCell ref="J39:K39"/>
    <mergeCell ref="J38:K38"/>
    <mergeCell ref="J37:K37"/>
    <mergeCell ref="J36:K36"/>
    <mergeCell ref="J35:K35"/>
    <mergeCell ref="J34:K34"/>
    <mergeCell ref="J27:K27"/>
    <mergeCell ref="J26:K26"/>
    <mergeCell ref="A24:F25"/>
    <mergeCell ref="I2:Q2"/>
    <mergeCell ref="I42:L42"/>
    <mergeCell ref="J29:K29"/>
    <mergeCell ref="J28:K28"/>
    <mergeCell ref="B41:E41"/>
    <mergeCell ref="I24:O24"/>
    <mergeCell ref="I25:O25"/>
    <mergeCell ref="A26:E26"/>
    <mergeCell ref="C31:D31"/>
    <mergeCell ref="C30:D30"/>
    <mergeCell ref="C29:D29"/>
    <mergeCell ref="C28:D28"/>
    <mergeCell ref="C27:D27"/>
    <mergeCell ref="A92:G92"/>
    <mergeCell ref="J45:N45"/>
    <mergeCell ref="J47:P47"/>
    <mergeCell ref="B51:D51"/>
    <mergeCell ref="B64:F64"/>
    <mergeCell ref="B75:E75"/>
    <mergeCell ref="B72:F72"/>
    <mergeCell ref="B69:E69"/>
    <mergeCell ref="B66:G66"/>
    <mergeCell ref="A50:F50"/>
    <mergeCell ref="I50:N50"/>
    <mergeCell ref="A80:F80"/>
    <mergeCell ref="I80:O80"/>
    <mergeCell ref="J167:P167"/>
    <mergeCell ref="J316:P316"/>
    <mergeCell ref="J288:P288"/>
    <mergeCell ref="A400:G400"/>
    <mergeCell ref="A397:B397"/>
    <mergeCell ref="A371:G371"/>
    <mergeCell ref="A387:B387"/>
    <mergeCell ref="A389:B389"/>
    <mergeCell ref="A391:B391"/>
    <mergeCell ref="A393:B393"/>
    <mergeCell ref="A395:B395"/>
    <mergeCell ref="J372:K372"/>
    <mergeCell ref="K373:M373"/>
    <mergeCell ref="K347:N347"/>
    <mergeCell ref="J361:K361"/>
    <mergeCell ref="J363:K363"/>
    <mergeCell ref="A110:G110"/>
    <mergeCell ref="J110:P110"/>
    <mergeCell ref="J400:P400"/>
    <mergeCell ref="A187:G187"/>
    <mergeCell ref="D210:F210"/>
    <mergeCell ref="J264:P264"/>
    <mergeCell ref="A137:G137"/>
    <mergeCell ref="J137:P137"/>
    <mergeCell ref="A153:G153"/>
    <mergeCell ref="J153:P153"/>
    <mergeCell ref="A167:G167"/>
    <mergeCell ref="J374:K374"/>
    <mergeCell ref="J346:P346"/>
    <mergeCell ref="A384:B384"/>
    <mergeCell ref="A385:B385"/>
    <mergeCell ref="J365:K365"/>
    <mergeCell ref="K366:M366"/>
    <mergeCell ref="J367:K367"/>
  </mergeCells>
  <conditionalFormatting sqref="D402:D421">
    <cfRule type="cellIs" dxfId="0" priority="1" operator="greaterThan">
      <formula>74999</formula>
    </cfRule>
  </conditionalFormatting>
  <pageMargins left="0.7" right="0.7" top="0.75" bottom="0.75" header="0.3" footer="0.3"/>
  <pageSetup orientation="portrait" r:id="rId1"/>
  <ignoredErrors>
    <ignoredError sqref="C87 C88:C90 E100:E107 F100:F107 D121:D127 M121:M124 M134:M135 M128:M130 G149:G151 O146:O149 B165 L162:L165 B185 K262 C194 C200 C203 C206:C207 C191 C197 Q279:Q280 Q282 Q284:Q285 N17:N18 B39:E42 J44:P48 M87:M90 B67:F76" unlockedFormula="1"/>
    <ignoredError sqref="L377" evalError="1"/>
    <ignoredError sqref="N11" formulaRange="1"/>
    <ignoredError sqref="N8:N10 F15:F21" formulaRange="1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All_Assingment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 patel</dc:creator>
  <cp:lastModifiedBy>palak patel</cp:lastModifiedBy>
  <dcterms:created xsi:type="dcterms:W3CDTF">2026-04-05T12:40:54Z</dcterms:created>
  <dcterms:modified xsi:type="dcterms:W3CDTF">2026-04-21T17:09:47Z</dcterms:modified>
</cp:coreProperties>
</file>